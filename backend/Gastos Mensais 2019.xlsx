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e acompanhamentos" sheetId="1" r:id="rId4"/>
    <sheet state="visible" name="Gastos Janeiro" sheetId="2" r:id="rId5"/>
    <sheet state="visible" name="Gastos Fevereiro" sheetId="3" r:id="rId6"/>
    <sheet state="visible" name="Gastos Março" sheetId="4" r:id="rId7"/>
    <sheet state="visible" name="Gastos Abril" sheetId="5" r:id="rId8"/>
    <sheet state="visible" name="Gastos Maio" sheetId="6" r:id="rId9"/>
    <sheet state="visible" name="Gastos Junho" sheetId="7" r:id="rId10"/>
    <sheet state="visible" name="Gastos Julho" sheetId="8" r:id="rId11"/>
    <sheet state="visible" name="Gastos Agosto" sheetId="9" r:id="rId12"/>
    <sheet state="visible" name="Gastos Setembro" sheetId="10" r:id="rId13"/>
    <sheet state="visible" name="Gastos Outubro" sheetId="11" r:id="rId14"/>
    <sheet state="visible" name="Gastos Novembro" sheetId="12" r:id="rId15"/>
    <sheet state="visible" name="Gastos Dezembro" sheetId="13" r:id="rId16"/>
  </sheets>
  <definedNames/>
  <calcPr/>
</workbook>
</file>

<file path=xl/sharedStrings.xml><?xml version="1.0" encoding="utf-8"?>
<sst xmlns="http://schemas.openxmlformats.org/spreadsheetml/2006/main" count="1500" uniqueCount="446">
  <si>
    <t>Gastos e acompanhamento 2019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</si>
  <si>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</si>
  <si>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</si>
  <si>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</si>
  <si>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</si>
  <si>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</si>
  <si>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</si>
  <si>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</si>
  <si>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</si>
  <si>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</si>
  <si>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</si>
  <si>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</si>
  <si>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</si>
  <si>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Renda 1</t>
  </si>
  <si>
    <t>Renda 2</t>
  </si>
  <si>
    <t>Tesouro</t>
  </si>
  <si>
    <t>Poupança</t>
  </si>
  <si>
    <t>Total</t>
  </si>
  <si>
    <t>Despesas</t>
  </si>
  <si>
    <t>Celular</t>
  </si>
  <si>
    <t>Luz</t>
  </si>
  <si>
    <t>Água</t>
  </si>
  <si>
    <t>Gás</t>
  </si>
  <si>
    <t>Entretenimento</t>
  </si>
  <si>
    <t>Sherlock</t>
  </si>
  <si>
    <t>Compras casa</t>
  </si>
  <si>
    <t>Pessoal</t>
  </si>
  <si>
    <t>Comida</t>
  </si>
  <si>
    <t>Moto</t>
  </si>
  <si>
    <t>Saldo</t>
  </si>
  <si>
    <t>Meta de gastos</t>
  </si>
  <si>
    <t>10% entretenimento</t>
  </si>
  <si>
    <t>JANEIRO</t>
  </si>
  <si>
    <t>Observação</t>
  </si>
  <si>
    <t>dia</t>
  </si>
  <si>
    <t>R$</t>
  </si>
  <si>
    <t>ingresso WI-FI RALPH</t>
  </si>
  <si>
    <t>leite casa da Bia</t>
  </si>
  <si>
    <t>Giovana parque de diversões</t>
  </si>
  <si>
    <t>pão</t>
  </si>
  <si>
    <t>cinema dragon ball super broly</t>
  </si>
  <si>
    <t>lanche da tarde</t>
  </si>
  <si>
    <t>bis para o pessoal</t>
  </si>
  <si>
    <t>lanche cinema</t>
  </si>
  <si>
    <t>janta</t>
  </si>
  <si>
    <t>lanche</t>
  </si>
  <si>
    <t>café da manhã</t>
  </si>
  <si>
    <t>lanche manhã</t>
  </si>
  <si>
    <t>batatinha</t>
  </si>
  <si>
    <t>pão e lanche</t>
  </si>
  <si>
    <t>café da manhã + suco</t>
  </si>
  <si>
    <t>pão + lanche</t>
  </si>
  <si>
    <t>banana</t>
  </si>
  <si>
    <t>Caderno para as coisas do comercial</t>
  </si>
  <si>
    <t>churrasco mãe</t>
  </si>
  <si>
    <t>remedio e camisinha</t>
  </si>
  <si>
    <t>almoço</t>
  </si>
  <si>
    <t>netflix</t>
  </si>
  <si>
    <t>leite</t>
  </si>
  <si>
    <t>sapatos</t>
  </si>
  <si>
    <t>janta pizza</t>
  </si>
  <si>
    <t>trufas</t>
  </si>
  <si>
    <t>adaptador para headset</t>
  </si>
  <si>
    <t>diferença amaciante</t>
  </si>
  <si>
    <t>adaptador para headset - diferença</t>
  </si>
  <si>
    <t>livro copywriting kindle</t>
  </si>
  <si>
    <t>cafe,bolacha,goiaba,farofa</t>
  </si>
  <si>
    <t>spotfy</t>
  </si>
  <si>
    <t>açucar</t>
  </si>
  <si>
    <t>caderno para anotações</t>
  </si>
  <si>
    <t>Colégio da Giovana</t>
  </si>
  <si>
    <t>leite+caixa de fosforo</t>
  </si>
  <si>
    <t>Tripé para o celular</t>
  </si>
  <si>
    <t>pizza</t>
  </si>
  <si>
    <t>lanche com a bia</t>
  </si>
  <si>
    <t>ferro de solda e solda</t>
  </si>
  <si>
    <t>almoço (linguiça + ovo)</t>
  </si>
  <si>
    <t>internet</t>
  </si>
  <si>
    <t>café e açúcar</t>
  </si>
  <si>
    <t>emprestimo mãe</t>
  </si>
  <si>
    <t>jantar</t>
  </si>
  <si>
    <t>camisinha</t>
  </si>
  <si>
    <t>ração</t>
  </si>
  <si>
    <t>Renda  trufas</t>
  </si>
  <si>
    <t>seguro DPVAT</t>
  </si>
  <si>
    <t>estacionamento (grand shopping)</t>
  </si>
  <si>
    <t>gasolina</t>
  </si>
  <si>
    <t>estacionamento (via sul)</t>
  </si>
  <si>
    <t>FEVEREIRO</t>
  </si>
  <si>
    <t>café da manhã + pão da tarde</t>
  </si>
  <si>
    <t>lanche com a Bia</t>
  </si>
  <si>
    <t>PÃO</t>
  </si>
  <si>
    <t>pão mãe</t>
  </si>
  <si>
    <t>Pão</t>
  </si>
  <si>
    <t>pão + lanche + lanche faculdade</t>
  </si>
  <si>
    <t>pão + leite</t>
  </si>
  <si>
    <t>pão + biscoito</t>
  </si>
  <si>
    <t>desodorante</t>
  </si>
  <si>
    <t>leite + café</t>
  </si>
  <si>
    <t>meias</t>
  </si>
  <si>
    <t>almoço linguiça</t>
  </si>
  <si>
    <t>capa de chuva + mel</t>
  </si>
  <si>
    <t>trufas + perfume</t>
  </si>
  <si>
    <t>venish e omo</t>
  </si>
  <si>
    <t>jogo kingdom hearts 3</t>
  </si>
  <si>
    <t>trufa</t>
  </si>
  <si>
    <t>pão de forma + queijo e presunto</t>
  </si>
  <si>
    <t>coca cola</t>
  </si>
  <si>
    <t>jantar com a Bia</t>
  </si>
  <si>
    <t>açucar, farinha d'água</t>
  </si>
  <si>
    <t>reforço Giovana</t>
  </si>
  <si>
    <t>esfirras</t>
  </si>
  <si>
    <t>remédio de verme</t>
  </si>
  <si>
    <t>janta pastel</t>
  </si>
  <si>
    <t>corte de cabelo</t>
  </si>
  <si>
    <t>janta mais pão e requeijão</t>
  </si>
  <si>
    <t>pizza casa</t>
  </si>
  <si>
    <t>remedios</t>
  </si>
  <si>
    <t>Sapato + camiseta</t>
  </si>
  <si>
    <t>conserto do ziper da mochila</t>
  </si>
  <si>
    <t>Cabelo da mãe + emprestimo (R$ 125,00)</t>
  </si>
  <si>
    <t>luftal</t>
  </si>
  <si>
    <t>crédito</t>
  </si>
  <si>
    <t>plano de chamadas e de internet</t>
  </si>
  <si>
    <t>agua</t>
  </si>
  <si>
    <t>enel</t>
  </si>
  <si>
    <t>gasolina moto</t>
  </si>
  <si>
    <t>estacionamento grand shopping</t>
  </si>
  <si>
    <t>troca de óleo</t>
  </si>
  <si>
    <t>freio + pisca (manutenção)</t>
  </si>
  <si>
    <t>MARÇO</t>
  </si>
  <si>
    <t>hipergame</t>
  </si>
  <si>
    <t>Cinema Capitã Marvel</t>
  </si>
  <si>
    <t>jantar pizza</t>
  </si>
  <si>
    <t>tarde com a bia</t>
  </si>
  <si>
    <t>pão+lanche</t>
  </si>
  <si>
    <t>pão+leite+lanche</t>
  </si>
  <si>
    <t>pão+almoço de aniversário da D. Vania</t>
  </si>
  <si>
    <t>pão + lanche da faculdade</t>
  </si>
  <si>
    <t>tapioca</t>
  </si>
  <si>
    <t>pão+lanche de tarde</t>
  </si>
  <si>
    <t>gilete</t>
  </si>
  <si>
    <t>Leite</t>
  </si>
  <si>
    <t>compras</t>
  </si>
  <si>
    <t>play 4</t>
  </si>
  <si>
    <t>bolo + manteiga + farinha dágua</t>
  </si>
  <si>
    <t>amendoim</t>
  </si>
  <si>
    <t>café + açucar</t>
  </si>
  <si>
    <t>Concerto de celular para venda</t>
  </si>
  <si>
    <t>niver De Vania</t>
  </si>
  <si>
    <t>ovo+pilha+tang</t>
  </si>
  <si>
    <t xml:space="preserve">emprestar ao Paulo </t>
  </si>
  <si>
    <t>ovo+farinha</t>
  </si>
  <si>
    <t>pão + lanche faculdade colocar no tipo certo</t>
  </si>
  <si>
    <t>venish + amaciante</t>
  </si>
  <si>
    <t>bolacha</t>
  </si>
  <si>
    <t>Limpar meu nome IBI CARD</t>
  </si>
  <si>
    <t>camisa</t>
  </si>
  <si>
    <t>sabão + frango</t>
  </si>
  <si>
    <t>emprestar ao Paulo</t>
  </si>
  <si>
    <t>concerto</t>
  </si>
  <si>
    <t>café</t>
  </si>
  <si>
    <t>linguiça</t>
  </si>
  <si>
    <t>crédito celular</t>
  </si>
  <si>
    <t>cagece</t>
  </si>
  <si>
    <t>carcaça frontal, 2 redentor + serviço</t>
  </si>
  <si>
    <t>Abril</t>
  </si>
  <si>
    <t>ingresso SHAZAM</t>
  </si>
  <si>
    <t>yakult</t>
  </si>
  <si>
    <t>salgado + balas</t>
  </si>
  <si>
    <t>lanche + agua+ pão da tarde</t>
  </si>
  <si>
    <t>Almoço</t>
  </si>
  <si>
    <t>pao</t>
  </si>
  <si>
    <t>pizza+ tampico + agua</t>
  </si>
  <si>
    <t>3º parcela</t>
  </si>
  <si>
    <t>frango</t>
  </si>
  <si>
    <t>Caderno</t>
  </si>
  <si>
    <t>churrasco</t>
  </si>
  <si>
    <t>estacionamento</t>
  </si>
  <si>
    <t>ovo</t>
  </si>
  <si>
    <t>diferença da Bia</t>
  </si>
  <si>
    <t>pizzas aniversário do gean</t>
  </si>
  <si>
    <t>shampo anticaspa</t>
  </si>
  <si>
    <t>Camisas</t>
  </si>
  <si>
    <t>fardo de leite</t>
  </si>
  <si>
    <t>passagem para o centro fashion</t>
  </si>
  <si>
    <t>inseticida + feijão verde</t>
  </si>
  <si>
    <t>desodorante+2antimofo</t>
  </si>
  <si>
    <t>Danone Giovana</t>
  </si>
  <si>
    <t>emprestar a mae</t>
  </si>
  <si>
    <t>presente bia</t>
  </si>
  <si>
    <t>bolo, iogurte, chamyto</t>
  </si>
  <si>
    <t>ingressos cinema</t>
  </si>
  <si>
    <t>gás</t>
  </si>
  <si>
    <t>caixa de ovos</t>
  </si>
  <si>
    <t>amaciante+farinha</t>
  </si>
  <si>
    <t>cheetos + chamyto</t>
  </si>
  <si>
    <t>Banana+Gioaba</t>
  </si>
  <si>
    <t>estacionamento via sul</t>
  </si>
  <si>
    <t>venish</t>
  </si>
  <si>
    <t>banana + ninho + cheetos + sucos</t>
  </si>
  <si>
    <t>Almoço frango</t>
  </si>
  <si>
    <t>Garrafão</t>
  </si>
  <si>
    <t>energia</t>
  </si>
  <si>
    <t>manutenção</t>
  </si>
  <si>
    <t>troca e óleo</t>
  </si>
  <si>
    <t>Maio</t>
  </si>
  <si>
    <t>pão + lanche faculdade+janta</t>
  </si>
  <si>
    <t>água</t>
  </si>
  <si>
    <t>caixa de leite</t>
  </si>
  <si>
    <t>rufles</t>
  </si>
  <si>
    <t>pastel de queijo</t>
  </si>
  <si>
    <t>pão + tortuguita</t>
  </si>
  <si>
    <t>pão + Tortuguita</t>
  </si>
  <si>
    <t>sorvete+2chetos e uma coca cola</t>
  </si>
  <si>
    <t>Pão+lanche</t>
  </si>
  <si>
    <t>pastel de queijo+suco</t>
  </si>
  <si>
    <t>pão+tortuguita</t>
  </si>
  <si>
    <t>pão de côco</t>
  </si>
  <si>
    <t>Tortuguita</t>
  </si>
  <si>
    <t>tortuguita</t>
  </si>
  <si>
    <t>delicitos + churrasco</t>
  </si>
  <si>
    <t>pão+tortuguita+churrasco</t>
  </si>
  <si>
    <t>pão+maçã+biscoito</t>
  </si>
  <si>
    <t>dar dinheiro a mãe</t>
  </si>
  <si>
    <t>reforço da giovana</t>
  </si>
  <si>
    <t>capacete</t>
  </si>
  <si>
    <t>cuecas</t>
  </si>
  <si>
    <t>agua sanitaria,amaciante, sabao em pó,vanish</t>
  </si>
  <si>
    <t>dinheiro do flanelinha</t>
  </si>
  <si>
    <t>bolacha cream cracker</t>
  </si>
  <si>
    <t>biscoito da giovana</t>
  </si>
  <si>
    <t>Divida com o gean quitada (play 4 + kh collection)</t>
  </si>
  <si>
    <t>café santa clara</t>
  </si>
  <si>
    <t>Netflix</t>
  </si>
  <si>
    <t>energia mais agua (para separar depois)</t>
  </si>
  <si>
    <t>cinema detetive pikachu Nort shopping ant. bezerra</t>
  </si>
  <si>
    <t>estacionamento ( paguei estacionamento de carro)</t>
  </si>
  <si>
    <t>baiao + frango</t>
  </si>
  <si>
    <t>Fralda para o chá revelação para Kamylla</t>
  </si>
  <si>
    <t>mortadela</t>
  </si>
  <si>
    <t>dar dinheiro pro JV</t>
  </si>
  <si>
    <t>sabão brilhante</t>
  </si>
  <si>
    <t>Camisinha + teste de gravidez</t>
  </si>
  <si>
    <t>pokemon idiota</t>
  </si>
  <si>
    <t>Reforço Giovana</t>
  </si>
  <si>
    <t>coisas para fazer Brigadeiro</t>
  </si>
  <si>
    <t>Crédito celular</t>
  </si>
  <si>
    <t>Renda 2 - Trufas</t>
  </si>
  <si>
    <t>bia comprou 2 trufas</t>
  </si>
  <si>
    <t>vendas</t>
  </si>
  <si>
    <t>Junho</t>
  </si>
  <si>
    <t>salgado + água</t>
  </si>
  <si>
    <t>tortuguita+icekiss</t>
  </si>
  <si>
    <t>sorvete</t>
  </si>
  <si>
    <t>lanche para o filme John Wick 3</t>
  </si>
  <si>
    <t>batom garoto</t>
  </si>
  <si>
    <t>comida para viagem para guaramiranga</t>
  </si>
  <si>
    <t>jantar pizza com a Bia</t>
  </si>
  <si>
    <t>lanche para o filme toy story</t>
  </si>
  <si>
    <t>caixa e ovo</t>
  </si>
  <si>
    <t>predinisolona</t>
  </si>
  <si>
    <t>pastel da giovana</t>
  </si>
  <si>
    <t>concerto da calça</t>
  </si>
  <si>
    <t>Banana+Farinha dágua</t>
  </si>
  <si>
    <t>garrafão 2x</t>
  </si>
  <si>
    <t>3 anti-mofo</t>
  </si>
  <si>
    <t>leite 2x</t>
  </si>
  <si>
    <t>Fonte 500 W</t>
  </si>
  <si>
    <t>frango + cheiro verde</t>
  </si>
  <si>
    <t>Livro - O pequeno principe</t>
  </si>
  <si>
    <t>din Din mãe</t>
  </si>
  <si>
    <t>ingresso - John Wick 3</t>
  </si>
  <si>
    <t>café + cream cracker</t>
  </si>
  <si>
    <t>perfume kaik comprei da mãe</t>
  </si>
  <si>
    <t>não lembro</t>
  </si>
  <si>
    <t>xerox documentos</t>
  </si>
  <si>
    <t>estacionamento messejana</t>
  </si>
  <si>
    <t>placa mae entrada</t>
  </si>
  <si>
    <t>sabão líquido</t>
  </si>
  <si>
    <t>placa mae restante</t>
  </si>
  <si>
    <t>coca-cola</t>
  </si>
  <si>
    <t>viagem guaramiranga (passagens+aluguel+barraca+café da manhã+ janta)</t>
  </si>
  <si>
    <t>prestobarba</t>
  </si>
  <si>
    <t>leite + qualy</t>
  </si>
  <si>
    <t>emprestar dinheiro a Bia</t>
  </si>
  <si>
    <t>bolo+sabonete</t>
  </si>
  <si>
    <t>ingresso - toy story 4</t>
  </si>
  <si>
    <t>reforço da Giovana</t>
  </si>
  <si>
    <t>divida cartão de memória</t>
  </si>
  <si>
    <t>sapatos da mãe (divida cartão de memória)</t>
  </si>
  <si>
    <t>revisão</t>
  </si>
  <si>
    <t>Julho</t>
  </si>
  <si>
    <t>janta pizza + refri</t>
  </si>
  <si>
    <t>jantar esfirra</t>
  </si>
  <si>
    <t>pastilha</t>
  </si>
  <si>
    <t>chamyto</t>
  </si>
  <si>
    <t>janta esfirra</t>
  </si>
  <si>
    <t>emprestar dinheiro para o paulo</t>
  </si>
  <si>
    <t>farinha d'agua + arroz</t>
  </si>
  <si>
    <t>impressão da folha da AF</t>
  </si>
  <si>
    <t>passagem para pegar a moto do gean</t>
  </si>
  <si>
    <t>almoço(frango)</t>
  </si>
  <si>
    <t>almoço 2x sardinhas</t>
  </si>
  <si>
    <t>pack bordelands</t>
  </si>
  <si>
    <t>detergente</t>
  </si>
  <si>
    <t>ingresso Homem-aranha longe de casa</t>
  </si>
  <si>
    <t>ovos</t>
  </si>
  <si>
    <t>memória RAM</t>
  </si>
  <si>
    <t>farinha d'água + cream cracker</t>
  </si>
  <si>
    <t>pasta térmica</t>
  </si>
  <si>
    <t>HD +COOLER</t>
  </si>
  <si>
    <t>manteiga</t>
  </si>
  <si>
    <t>prestobarba+camisinha+sabonete</t>
  </si>
  <si>
    <t>agua sanitaria</t>
  </si>
  <si>
    <t>ida a praia</t>
  </si>
  <si>
    <t>IPVA do Gean</t>
  </si>
  <si>
    <t>emplacamento gean</t>
  </si>
  <si>
    <t>shampoo + condicionador</t>
  </si>
  <si>
    <t>ingresso circo</t>
  </si>
  <si>
    <t>entrada do concerto do celular</t>
  </si>
  <si>
    <t>resto do concerto do celular</t>
  </si>
  <si>
    <t>netflix julho e agosto</t>
  </si>
  <si>
    <t>garrafão</t>
  </si>
  <si>
    <t>Agosto</t>
  </si>
  <si>
    <t>cinema + comida</t>
  </si>
  <si>
    <t>chocolate</t>
  </si>
  <si>
    <t>esfirra</t>
  </si>
  <si>
    <t>lanche da noite com a bia</t>
  </si>
  <si>
    <t>internet mãe</t>
  </si>
  <si>
    <t>leite + cream cracker</t>
  </si>
  <si>
    <t>remedio para dor de cabeça</t>
  </si>
  <si>
    <t>café principal</t>
  </si>
  <si>
    <t>corrente</t>
  </si>
  <si>
    <t>repetidor de sinal</t>
  </si>
  <si>
    <t>5x ovo</t>
  </si>
  <si>
    <t>teclado</t>
  </si>
  <si>
    <t>cx de ovo</t>
  </si>
  <si>
    <t>prednisona</t>
  </si>
  <si>
    <t>15/08/0219</t>
  </si>
  <si>
    <t>estacionamento centro de eventos</t>
  </si>
  <si>
    <t>contas mãe</t>
  </si>
  <si>
    <t>caixa de som para p pc</t>
  </si>
  <si>
    <t>reforço giovana</t>
  </si>
  <si>
    <t>qualy</t>
  </si>
  <si>
    <t>tapioca + bolo + papel higienico</t>
  </si>
  <si>
    <t>farinha</t>
  </si>
  <si>
    <t>leite+ovos</t>
  </si>
  <si>
    <t>leite+farinha</t>
  </si>
  <si>
    <t>arroz</t>
  </si>
  <si>
    <t>concerto do velocimetro</t>
  </si>
  <si>
    <t>Setembro</t>
  </si>
  <si>
    <t>pizza+refri</t>
  </si>
  <si>
    <t>biscoito</t>
  </si>
  <si>
    <t>salgado</t>
  </si>
  <si>
    <t>risole de carne</t>
  </si>
  <si>
    <t>emprestar dinheiro pro pai</t>
  </si>
  <si>
    <t>emprestar dinheiro para mãe</t>
  </si>
  <si>
    <t>meu presente de aniversário para mim :)</t>
  </si>
  <si>
    <t>emprestar dinheiro a mãe</t>
  </si>
  <si>
    <t>alho roxo</t>
  </si>
  <si>
    <t>adaptador bluetooth para pc</t>
  </si>
  <si>
    <t>dinheiro para levar o guarda roupa da mãe</t>
  </si>
  <si>
    <t>estacionamento benfica</t>
  </si>
  <si>
    <t>nescau+goiaba+banana</t>
  </si>
  <si>
    <t>ingresso eu e Bia</t>
  </si>
  <si>
    <t>bolachas</t>
  </si>
  <si>
    <t>2x leite</t>
  </si>
  <si>
    <t>gasolina viagem</t>
  </si>
  <si>
    <t>credito psn store</t>
  </si>
  <si>
    <t>banana + batata</t>
  </si>
  <si>
    <t>Outubro</t>
  </si>
  <si>
    <t>cheetos</t>
  </si>
  <si>
    <t>subway com a bia</t>
  </si>
  <si>
    <t>2xcheetos+doritos+nescau</t>
  </si>
  <si>
    <t>2x pastel + suco</t>
  </si>
  <si>
    <t>jantar com  bia (esfirra+refrigernte)</t>
  </si>
  <si>
    <t>deposito superdigital</t>
  </si>
  <si>
    <t>taxa de licenciamento e expedição de CRLV/CRV</t>
  </si>
  <si>
    <t>queijo presunto pão</t>
  </si>
  <si>
    <t>IPVA</t>
  </si>
  <si>
    <t>pagamento da porra do cheque especial</t>
  </si>
  <si>
    <t>banana+sardinha</t>
  </si>
  <si>
    <t>estacionamento grandshopping</t>
  </si>
  <si>
    <t>adaptador pra antena pra vó</t>
  </si>
  <si>
    <t>batata</t>
  </si>
  <si>
    <t>jump force</t>
  </si>
  <si>
    <t>netflix (Setembro Outubro)</t>
  </si>
  <si>
    <t>itapark + comida</t>
  </si>
  <si>
    <t>cinema (coringa)+comida</t>
  </si>
  <si>
    <t>matricula muay thai</t>
  </si>
  <si>
    <t>teste de gravidez</t>
  </si>
  <si>
    <t>cabo HDMI</t>
  </si>
  <si>
    <t>dentista</t>
  </si>
  <si>
    <t>credito cartão super</t>
  </si>
  <si>
    <t>cortar cabelo</t>
  </si>
  <si>
    <t>Novembro</t>
  </si>
  <si>
    <t>ingresso Os parças 2</t>
  </si>
  <si>
    <t>lanche faculdade</t>
  </si>
  <si>
    <t>emprestar dinheiro a vó</t>
  </si>
  <si>
    <t>comprar luva e atadura</t>
  </si>
  <si>
    <t>reboque</t>
  </si>
  <si>
    <t>leite integral</t>
  </si>
  <si>
    <t>plus</t>
  </si>
  <si>
    <t>ketchup</t>
  </si>
  <si>
    <t>azitromicina</t>
  </si>
  <si>
    <t>crédito cartão</t>
  </si>
  <si>
    <t>shapoo condicionador + netflix</t>
  </si>
  <si>
    <t>calça jeans + 2xshort jeans + 2 bermudas</t>
  </si>
  <si>
    <t>pão hamburguer + hamburguer</t>
  </si>
  <si>
    <t>caixa de ovo</t>
  </si>
  <si>
    <t>comida para o filme os Parças 2</t>
  </si>
  <si>
    <t>imprimir boleto curio net</t>
  </si>
  <si>
    <t>pagar a curio net</t>
  </si>
  <si>
    <t>cama de ar</t>
  </si>
  <si>
    <t>bastão para olhar o nivel do óleo</t>
  </si>
  <si>
    <t>Dezembro</t>
  </si>
  <si>
    <t>água de coco</t>
  </si>
  <si>
    <t>jantar bia</t>
  </si>
  <si>
    <t>lanche para o filme</t>
  </si>
  <si>
    <t>jantar subway</t>
  </si>
  <si>
    <t>travesseiro</t>
  </si>
  <si>
    <t>2 kg de arroz</t>
  </si>
  <si>
    <t>presente amigo secreto</t>
  </si>
  <si>
    <t>park games iguatemi</t>
  </si>
  <si>
    <t>farinha dágua</t>
  </si>
  <si>
    <t>2x sardinha 88</t>
  </si>
  <si>
    <t>leite condesado</t>
  </si>
  <si>
    <t>sacola das compras</t>
  </si>
  <si>
    <t>flocos de chocolate</t>
  </si>
  <si>
    <t>2x garrafão</t>
  </si>
  <si>
    <t>forma de brigadeiro</t>
  </si>
  <si>
    <t>bolo de chocolate para a Plus</t>
  </si>
  <si>
    <t>bolo + cream craker</t>
  </si>
  <si>
    <t>2x leite condesado</t>
  </si>
  <si>
    <t>banana+maracuja</t>
  </si>
  <si>
    <t>comprar revista de pintar</t>
  </si>
  <si>
    <t>ingresso star wars 9</t>
  </si>
  <si>
    <t>uber para casa</t>
  </si>
  <si>
    <t>chinela</t>
  </si>
  <si>
    <t>remédio</t>
  </si>
  <si>
    <t>estacionamento iguatemi</t>
  </si>
  <si>
    <t>12/121/2019</t>
  </si>
  <si>
    <t>gas de cozinha</t>
  </si>
  <si>
    <t>pisca da moto</t>
  </si>
  <si>
    <t>capa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</si>
</sst>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/mm"/>
    <numFmt numFmtId="166" formatCode="dd/MM/yyyy"/>
    <numFmt numFmtId="167" formatCode="dd/mm/yyyy"/>
    <numFmt numFmtId="168" formatCode="dd/mm/yy"/>
    <numFmt numFmtId="169" formatCode="d/m/yyyy"/>
  </numFmts>
  <fonts count="8">
    <font>
      <sz val="10.0"/>
      <color rgb="FF000000"/>
      <name val="Arial"/>
    </font>
    <font>
      <sz val="36.0"/>
    </font>
    <font/>
    <font>
      <sz val="11.0"/>
      <color rgb="FF000000"/>
      <name val="Calibri"/>
    </font>
    <font>
      <b/>
      <sz val="14.0"/>
    </font>
    <font>
      <b/>
    </font>
    <font>
      <b/>
      <sz val="11.0"/>
    </font>
    <font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Border="1" applyFont="1" applyNumberFormat="1"/>
    <xf borderId="0" fillId="0" fontId="2" numFmtId="164" xfId="0" applyFont="1" applyNumberFormat="1"/>
    <xf borderId="1" fillId="2" fontId="3" numFmtId="0" xfId="0" applyAlignment="1" applyBorder="1" applyFill="1" applyFont="1">
      <alignment vertical="bottom"/>
    </xf>
    <xf borderId="1" fillId="2" fontId="2" numFmtId="164" xfId="0" applyAlignment="1" applyBorder="1" applyFont="1" applyNumberFormat="1">
      <alignment readingOrder="0"/>
    </xf>
    <xf borderId="1" fillId="2" fontId="2" numFmtId="164" xfId="0" applyBorder="1" applyFont="1" applyNumberFormat="1"/>
    <xf borderId="0" fillId="2" fontId="2" numFmtId="0" xfId="0" applyFont="1"/>
    <xf borderId="1" fillId="0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164" xfId="0" applyFill="1" applyFont="1" applyNumberFormat="1"/>
    <xf borderId="0" fillId="3" fontId="2" numFmtId="164" xfId="0" applyFont="1" applyNumberFormat="1"/>
    <xf borderId="0" fillId="5" fontId="2" numFmtId="0" xfId="0" applyFill="1" applyFont="1"/>
    <xf borderId="0" fillId="0" fontId="5" numFmtId="164" xfId="0" applyAlignment="1" applyFont="1" applyNumberFormat="1">
      <alignment readingOrder="0"/>
    </xf>
    <xf borderId="0" fillId="5" fontId="2" numFmtId="164" xfId="0" applyFont="1" applyNumberFormat="1"/>
    <xf borderId="0" fillId="5" fontId="2" numFmtId="164" xfId="0" applyAlignment="1" applyFont="1" applyNumberFormat="1">
      <alignment readingOrder="0"/>
    </xf>
    <xf borderId="0" fillId="6" fontId="2" numFmtId="164" xfId="0" applyFill="1" applyFont="1" applyNumberFormat="1"/>
    <xf borderId="0" fillId="0" fontId="2" numFmtId="4" xfId="0" applyFont="1" applyNumberFormat="1"/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167" xfId="0" applyAlignment="1" applyBorder="1" applyFont="1" applyNumberFormat="1">
      <alignment readingOrder="0"/>
    </xf>
    <xf borderId="0" fillId="0" fontId="2" numFmtId="164" xfId="0" applyAlignment="1" applyFont="1" applyNumberFormat="1">
      <alignment horizontal="center"/>
    </xf>
    <xf borderId="1" fillId="0" fontId="2" numFmtId="165" xfId="0" applyAlignment="1" applyBorder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2" fillId="0" fontId="2" numFmtId="0" xfId="0" applyAlignment="1" applyBorder="1" applyFont="1">
      <alignment horizontal="left" readingOrder="0"/>
    </xf>
    <xf borderId="2" fillId="0" fontId="2" numFmtId="165" xfId="0" applyAlignment="1" applyBorder="1" applyFont="1" applyNumberFormat="1">
      <alignment horizontal="left" readingOrder="0"/>
    </xf>
    <xf borderId="1" fillId="0" fontId="2" numFmtId="0" xfId="0" applyBorder="1" applyFont="1"/>
    <xf borderId="0" fillId="0" fontId="6" numFmtId="0" xfId="0" applyAlignment="1" applyFont="1">
      <alignment readingOrder="0"/>
    </xf>
    <xf borderId="0" fillId="0" fontId="6" numFmtId="164" xfId="0" applyFont="1" applyNumberFormat="1"/>
    <xf borderId="1" fillId="0" fontId="2" numFmtId="168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0" fontId="2" numFmtId="164" xfId="0" applyBorder="1" applyFont="1" applyNumberFormat="1"/>
    <xf borderId="2" fillId="0" fontId="2" numFmtId="0" xfId="0" applyBorder="1" applyFont="1"/>
    <xf borderId="2" fillId="0" fontId="2" numFmtId="165" xfId="0" applyAlignment="1" applyBorder="1" applyFont="1" applyNumberFormat="1">
      <alignment readingOrder="0"/>
    </xf>
    <xf borderId="2" fillId="0" fontId="7" numFmtId="0" xfId="0" applyAlignment="1" applyBorder="1" applyFont="1">
      <alignment vertical="bottom"/>
    </xf>
    <xf borderId="4" fillId="0" fontId="7" numFmtId="167" xfId="0" applyAlignment="1" applyBorder="1" applyFont="1" applyNumberFormat="1">
      <alignment horizontal="right" vertical="bottom"/>
    </xf>
    <xf borderId="4" fillId="0" fontId="7" numFmtId="16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/>
    </xf>
    <xf borderId="1" fillId="0" fontId="2" numFmtId="14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6" xfId="0" applyBorder="1" applyFont="1" applyNumberFormat="1"/>
    <xf borderId="0" fillId="0" fontId="2" numFmtId="166" xfId="0" applyAlignment="1" applyFont="1" applyNumberFormat="1">
      <alignment horizontal="center" readingOrder="0"/>
    </xf>
    <xf borderId="0" fillId="0" fontId="2" numFmtId="166" xfId="0" applyFont="1" applyNumberFormat="1"/>
    <xf borderId="1" fillId="0" fontId="2" numFmtId="168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5">
      <c r="A5" s="2"/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>
      <c r="A6" s="4" t="s">
        <v>13</v>
      </c>
      <c r="B6" s="3">
        <f>943.69+164.85+152.64</f>
        <v>1261.18</v>
      </c>
      <c r="C6" s="3">
        <f>943.69+144.1+150</f>
        <v>1237.79</v>
      </c>
      <c r="D6" s="3">
        <f>943.69+144.1</f>
        <v>1087.79</v>
      </c>
      <c r="E6" s="3">
        <f>1297.14+943.69+49+10</f>
        <v>2299.83</v>
      </c>
      <c r="F6" s="5">
        <f>E27+144+144+150+3292.86+411.5</f>
        <v>5738.115</v>
      </c>
      <c r="G6" s="6">
        <f>4925.315+24.5+4255.36</f>
        <v>9205.175</v>
      </c>
      <c r="H6" s="3">
        <f>7173.68+34+24+76.55+1025</f>
        <v>8333.23</v>
      </c>
      <c r="I6" s="6">
        <f>6769.97+75.82+175+200+1025+150</f>
        <v>8395.79</v>
      </c>
      <c r="J6" s="3">
        <f>I26-22.29+100+1025+998+150</f>
        <v>9561.575</v>
      </c>
      <c r="K6" s="3">
        <f>8237.53+1025+68.85+100</f>
        <v>9431.38</v>
      </c>
      <c r="L6" s="6">
        <f>K26+16.96+1025</f>
        <v>8804.22</v>
      </c>
      <c r="M6" s="3">
        <v>7257.92</v>
      </c>
    </row>
    <row r="7">
      <c r="A7" s="4" t="s">
        <v>14</v>
      </c>
      <c r="B7" s="3"/>
      <c r="C7" s="3"/>
      <c r="D7" s="6"/>
      <c r="E7" s="3">
        <v>100.0</v>
      </c>
      <c r="F7" s="6">
        <f>'Gastos Maio'!L113</f>
        <v>34</v>
      </c>
      <c r="G7" s="6"/>
      <c r="H7" s="6"/>
      <c r="I7" s="6"/>
      <c r="J7" s="3">
        <v>200.0</v>
      </c>
      <c r="K7" s="3">
        <v>179.0</v>
      </c>
      <c r="L7" s="6"/>
      <c r="M7" s="6"/>
    </row>
    <row r="8">
      <c r="A8" s="4" t="s">
        <v>15</v>
      </c>
      <c r="B8" s="3"/>
      <c r="C8" s="3"/>
      <c r="D8" s="6"/>
      <c r="E8" s="6"/>
      <c r="F8" s="3"/>
      <c r="G8" s="6"/>
      <c r="H8" s="6"/>
      <c r="I8" s="6"/>
      <c r="J8" s="6"/>
      <c r="K8" s="6"/>
      <c r="L8" s="6"/>
      <c r="M8" s="6"/>
    </row>
    <row r="9">
      <c r="A9" s="4" t="s">
        <v>16</v>
      </c>
      <c r="B9" s="3"/>
      <c r="C9" s="3"/>
      <c r="D9" s="3"/>
      <c r="E9" s="3"/>
      <c r="F9" s="3"/>
      <c r="G9" s="6"/>
      <c r="H9" s="6"/>
      <c r="I9" s="6"/>
      <c r="J9" s="6"/>
      <c r="K9" s="6"/>
      <c r="L9" s="6"/>
      <c r="M9" s="6"/>
    </row>
    <row r="10">
      <c r="A10" s="4" t="s">
        <v>17</v>
      </c>
      <c r="B10" s="6">
        <f t="shared" ref="B10:M10" si="1">SUM(B6:B9)</f>
        <v>1261.18</v>
      </c>
      <c r="C10" s="6">
        <f t="shared" si="1"/>
        <v>1237.79</v>
      </c>
      <c r="D10" s="6">
        <f t="shared" si="1"/>
        <v>1087.79</v>
      </c>
      <c r="E10" s="6">
        <f t="shared" si="1"/>
        <v>2399.83</v>
      </c>
      <c r="F10" s="6">
        <f t="shared" si="1"/>
        <v>5772.115</v>
      </c>
      <c r="G10" s="6">
        <f t="shared" si="1"/>
        <v>9205.175</v>
      </c>
      <c r="H10" s="6">
        <f t="shared" si="1"/>
        <v>8333.23</v>
      </c>
      <c r="I10" s="6">
        <f t="shared" si="1"/>
        <v>8395.79</v>
      </c>
      <c r="J10" s="6">
        <f t="shared" si="1"/>
        <v>9761.575</v>
      </c>
      <c r="K10" s="6">
        <f t="shared" si="1"/>
        <v>9610.38</v>
      </c>
      <c r="L10" s="6">
        <f t="shared" si="1"/>
        <v>8804.22</v>
      </c>
      <c r="M10" s="6">
        <f t="shared" si="1"/>
        <v>7257.92</v>
      </c>
    </row>
    <row r="1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>
      <c r="A12" s="4" t="s">
        <v>18</v>
      </c>
      <c r="B12" s="3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10</v>
      </c>
      <c r="L12" s="4" t="s">
        <v>11</v>
      </c>
      <c r="M12" s="4" t="s">
        <v>12</v>
      </c>
    </row>
    <row r="13">
      <c r="A13" s="8" t="s">
        <v>19</v>
      </c>
      <c r="B13" s="9">
        <f>'Gastos Janeiro'!L76</f>
        <v>0</v>
      </c>
      <c r="C13" s="9">
        <f>'Gastos Fevereiro'!L62</f>
        <v>62</v>
      </c>
      <c r="D13" s="9">
        <f>'Gastos Março'!L65</f>
        <v>50</v>
      </c>
      <c r="E13" s="10">
        <f>'Gastos Abril'!L66</f>
        <v>50</v>
      </c>
      <c r="F13" s="10">
        <f>'Gastos Maio'!L69</f>
        <v>50</v>
      </c>
      <c r="G13" s="10">
        <f>'Gastos Junho'!L76</f>
        <v>50</v>
      </c>
      <c r="H13" s="10">
        <f>'Gastos Julho'!L74</f>
        <v>50</v>
      </c>
      <c r="I13" s="10">
        <f>'Gastos Agosto'!L75</f>
        <v>51</v>
      </c>
      <c r="J13" s="10">
        <f>'Gastos Setembro'!L75</f>
        <v>50</v>
      </c>
      <c r="K13" s="10">
        <f>'Gastos Outubro'!L75</f>
        <v>50</v>
      </c>
      <c r="L13" s="10">
        <f>'Gastos Novembro'!L75</f>
        <v>54.99</v>
      </c>
      <c r="M13" s="10">
        <f>'Gastos Dezembro'!L75</f>
        <v>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20</v>
      </c>
      <c r="B14" s="3">
        <f>'Gastos Janeiro'!L87</f>
        <v>0</v>
      </c>
      <c r="C14" s="3">
        <f>'Gastos Fevereiro'!L73</f>
        <v>45.0675</v>
      </c>
      <c r="D14" s="3">
        <f>'Gastos Março'!L76</f>
        <v>49.30666667</v>
      </c>
      <c r="E14" s="6">
        <f>'Gastos Abril'!L77</f>
        <v>90.315</v>
      </c>
      <c r="F14" s="6">
        <f>'Gastos Maio'!L80</f>
        <v>0</v>
      </c>
      <c r="G14" s="6">
        <f>'Gastos Junho'!L87</f>
        <v>172.33</v>
      </c>
      <c r="H14" s="6">
        <f>'Gastos Julho'!L85</f>
        <v>227.87</v>
      </c>
      <c r="I14" s="6">
        <f>'Gastos Agosto'!L86</f>
        <v>154.25</v>
      </c>
      <c r="J14" s="6">
        <f>'Gastos Setembro'!L86</f>
        <v>121.6966667</v>
      </c>
      <c r="K14" s="6">
        <f>'Gastos Outubro'!L86</f>
        <v>189.58</v>
      </c>
      <c r="L14" s="6">
        <f>'Gastos Novembro'!L86</f>
        <v>43.5</v>
      </c>
      <c r="M14" s="6">
        <f>'Gastos Dezembro'!L86</f>
        <v>52.39</v>
      </c>
    </row>
    <row r="15">
      <c r="A15" s="8" t="s">
        <v>21</v>
      </c>
      <c r="B15" s="9">
        <f>'Gastos Janeiro'!F87</f>
        <v>0</v>
      </c>
      <c r="C15" s="9">
        <f>'Gastos Fevereiro'!F73</f>
        <v>6.135</v>
      </c>
      <c r="D15" s="9">
        <f>'Gastos Março'!F76</f>
        <v>8.133333333</v>
      </c>
      <c r="E15" s="10">
        <f>'Gastos Abril'!F77</f>
        <v>12.98</v>
      </c>
      <c r="F15" s="10">
        <f>'Gastos Maio'!F80</f>
        <v>0</v>
      </c>
      <c r="G15" s="10">
        <f>'Gastos Junho'!F87</f>
        <v>37.94</v>
      </c>
      <c r="H15" s="10">
        <f>'Gastos Julho'!F85</f>
        <v>3</v>
      </c>
      <c r="I15" s="10">
        <f>'Gastos Agosto'!F86</f>
        <v>19.89</v>
      </c>
      <c r="J15" s="10">
        <f>'Gastos Setembro'!F86</f>
        <v>27.90333333</v>
      </c>
      <c r="K15" s="10">
        <f>'Gastos Outubro'!F86</f>
        <v>43.82</v>
      </c>
      <c r="L15" s="10">
        <f>'Gastos Novembro'!F86</f>
        <v>43.5</v>
      </c>
      <c r="M15" s="10">
        <f>'Gastos Dezembro'!F86</f>
        <v>24.9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22</v>
      </c>
      <c r="B16" s="3">
        <f>'Gastos Janeiro'!F98</f>
        <v>0</v>
      </c>
      <c r="C16" s="3">
        <f>'Gastos Fevereiro'!F84</f>
        <v>0</v>
      </c>
      <c r="D16" s="3">
        <f>'Gastos Março'!F87</f>
        <v>0</v>
      </c>
      <c r="E16" s="6">
        <f>'Gastos Abril'!F88</f>
        <v>0</v>
      </c>
      <c r="F16" s="6">
        <f>'Gastos Maio'!F113</f>
        <v>0</v>
      </c>
      <c r="G16" s="6">
        <f>'Gastos Junho'!F120</f>
        <v>0</v>
      </c>
      <c r="H16" s="6">
        <f>'Gastos Julho'!F118</f>
        <v>0</v>
      </c>
      <c r="I16" s="6">
        <f>'Gastos Agosto'!F119</f>
        <v>0</v>
      </c>
      <c r="J16" s="6">
        <f>'Gastos Setembro'!F119</f>
        <v>0</v>
      </c>
      <c r="K16" s="6">
        <f>'Gastos Outubro'!F119</f>
        <v>0</v>
      </c>
      <c r="L16" s="6">
        <f>'Gastos Novembro'!F119</f>
        <v>0</v>
      </c>
      <c r="M16" s="6">
        <f>'Gastos Dezembro'!F119</f>
        <v>36</v>
      </c>
    </row>
    <row r="17">
      <c r="A17" s="8" t="s">
        <v>23</v>
      </c>
      <c r="B17" s="9">
        <f>'Gastos Janeiro'!F40</f>
        <v>29</v>
      </c>
      <c r="C17" s="9">
        <f>'Gastos Fevereiro'!F27</f>
        <v>0</v>
      </c>
      <c r="D17" s="9">
        <f>'Gastos Março'!F31</f>
        <v>25</v>
      </c>
      <c r="E17" s="10">
        <f>'Gastos Abril'!F24</f>
        <v>7</v>
      </c>
      <c r="F17" s="10">
        <f>'Gastos Maio'!F36</f>
        <v>0</v>
      </c>
      <c r="G17" s="10">
        <f>'Gastos Junho'!F36</f>
        <v>0</v>
      </c>
      <c r="H17" s="10">
        <f>'Gastos Julho'!F36</f>
        <v>0</v>
      </c>
      <c r="I17" s="10">
        <f>'Gastos Agosto'!F37</f>
        <v>30.725</v>
      </c>
      <c r="J17" s="10">
        <f>'Gastos Setembro'!F37</f>
        <v>0</v>
      </c>
      <c r="K17" s="10">
        <f>'Gastos Outubro'!F37</f>
        <v>0</v>
      </c>
      <c r="L17" s="10">
        <f>'Gastos Novembro'!F37</f>
        <v>7</v>
      </c>
      <c r="M17" s="10">
        <f>'Gastos Dezembro'!F37</f>
        <v>0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" t="s">
        <v>24</v>
      </c>
      <c r="B18" s="3">
        <f>'Gastos Janeiro'!F76</f>
        <v>10</v>
      </c>
      <c r="C18" s="3">
        <f>'Gastos Fevereiro'!F62</f>
        <v>20</v>
      </c>
      <c r="D18" s="3">
        <f>'Gastos Março'!F65</f>
        <v>20</v>
      </c>
      <c r="E18" s="6">
        <f>'Gastos Abril'!F66</f>
        <v>20</v>
      </c>
      <c r="F18" s="6">
        <f>'Gastos Maio'!F69</f>
        <v>0</v>
      </c>
      <c r="G18" s="6">
        <f>'Gastos Junho'!F76</f>
        <v>20</v>
      </c>
      <c r="H18" s="6">
        <f>'Gastos Julho'!F74</f>
        <v>30</v>
      </c>
      <c r="I18" s="6">
        <f>'Gastos Agosto'!F75</f>
        <v>20</v>
      </c>
      <c r="J18" s="6">
        <f>'Gastos Setembro'!F75</f>
        <v>20</v>
      </c>
      <c r="K18" s="6">
        <f>'Gastos Outubro'!F75</f>
        <v>14.87</v>
      </c>
      <c r="L18" s="6">
        <f>'Gastos Novembro'!F75</f>
        <v>0</v>
      </c>
      <c r="M18" s="6">
        <f>'Gastos Dezembro'!F75</f>
        <v>20</v>
      </c>
    </row>
    <row r="19">
      <c r="A19" s="13" t="s">
        <v>25</v>
      </c>
      <c r="B19" s="9">
        <f>'Gastos Janeiro'!L65</f>
        <v>120.76</v>
      </c>
      <c r="C19" s="9">
        <f>'Gastos Fevereiro'!L51</f>
        <v>124</v>
      </c>
      <c r="D19" s="9">
        <f>'Gastos Março'!L54</f>
        <v>179.4</v>
      </c>
      <c r="E19" s="10">
        <f>'Gastos Abril'!L55</f>
        <v>237.63</v>
      </c>
      <c r="F19" s="10">
        <f>'Gastos Maio'!L58</f>
        <v>211.52</v>
      </c>
      <c r="G19" s="9">
        <f>'Gastos Junho'!L65</f>
        <v>165.61</v>
      </c>
      <c r="H19" s="10">
        <f>'Gastos Julho'!L63</f>
        <v>60.52</v>
      </c>
      <c r="I19" s="10">
        <f>'Gastos Agosto'!L64</f>
        <v>124.47</v>
      </c>
      <c r="J19" s="10">
        <f>'Gastos Setembro'!L64</f>
        <v>116.33</v>
      </c>
      <c r="K19" s="10">
        <f>'Gastos Outubro'!L64</f>
        <v>87.64</v>
      </c>
      <c r="L19" s="10">
        <f>'Gastos Novembro'!L64</f>
        <v>53.57</v>
      </c>
      <c r="M19" s="10">
        <f>'Gastos Dezembro'!L64</f>
        <v>62.61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4" t="s">
        <v>26</v>
      </c>
      <c r="B20" s="3">
        <f>'Gastos Janeiro'!F65</f>
        <v>941.27</v>
      </c>
      <c r="C20" s="3">
        <f>'Gastos Fevereiro'!F51</f>
        <v>1381.24</v>
      </c>
      <c r="D20" s="3">
        <f>'Gastos Março'!F54</f>
        <v>1074.04</v>
      </c>
      <c r="E20" s="6">
        <f>'Gastos Abril'!F55</f>
        <v>490.71</v>
      </c>
      <c r="F20" s="6">
        <f>'Gastos Maio'!F58</f>
        <v>605.74</v>
      </c>
      <c r="G20" s="6">
        <f>'Gastos Junho'!F65</f>
        <v>989.37</v>
      </c>
      <c r="H20" s="6">
        <f>'Gastos Julho'!F63</f>
        <v>1013.93</v>
      </c>
      <c r="I20" s="6">
        <f>'Gastos Agosto'!F64</f>
        <v>352.65</v>
      </c>
      <c r="J20" s="6">
        <f>'Gastos Setembro'!F64</f>
        <v>860.7</v>
      </c>
      <c r="K20" s="6">
        <f>'Gastos Outubro'!F64</f>
        <v>1263.04</v>
      </c>
      <c r="L20" s="6">
        <f>'Gastos Novembro'!F64</f>
        <v>1283.515</v>
      </c>
      <c r="M20" s="6">
        <f>'Gastos Dezembro'!F64</f>
        <v>357.11</v>
      </c>
    </row>
    <row r="21">
      <c r="A21" s="13" t="s">
        <v>27</v>
      </c>
      <c r="B21" s="9">
        <f>'Gastos Janeiro'!L40</f>
        <v>113.253</v>
      </c>
      <c r="C21" s="9">
        <f>'Gastos Fevereiro'!L27</f>
        <v>81.32</v>
      </c>
      <c r="D21" s="9">
        <f>'Gastos Março'!L31</f>
        <v>113.92</v>
      </c>
      <c r="E21" s="10">
        <f>'Gastos Abril'!L24</f>
        <v>113.75</v>
      </c>
      <c r="F21" s="10">
        <f>'Gastos Maio'!L36</f>
        <v>105.69</v>
      </c>
      <c r="G21" s="10">
        <f>'Gastos Junho'!L36</f>
        <v>91.26</v>
      </c>
      <c r="H21" s="10">
        <f>'Gastos Julho'!L36</f>
        <v>94.39</v>
      </c>
      <c r="I21" s="10">
        <f>'Gastos Agosto'!L37</f>
        <v>79.25</v>
      </c>
      <c r="J21" s="10">
        <f>'Gastos Setembro'!L37</f>
        <v>41.25</v>
      </c>
      <c r="K21" s="10">
        <f>'Gastos Outubro'!L37</f>
        <v>53.66</v>
      </c>
      <c r="L21" s="10">
        <f>'Gastos Novembro'!L37</f>
        <v>31.79</v>
      </c>
      <c r="M21" s="10">
        <f>'Gastos Dezembro'!L37</f>
        <v>88.5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" t="s">
        <v>28</v>
      </c>
      <c r="B22" s="3">
        <f>'Gastos Janeiro'!F109</f>
        <v>154.9</v>
      </c>
      <c r="C22" s="3">
        <f>'Gastos Fevereiro'!F95</f>
        <v>124.72</v>
      </c>
      <c r="D22" s="3">
        <f>'Gastos Março'!F98</f>
        <v>195.22</v>
      </c>
      <c r="E22" s="3">
        <f>'Gastos Abril'!F99</f>
        <v>170.24</v>
      </c>
      <c r="F22" s="3">
        <f>'Gastos Maio'!F127</f>
        <v>178</v>
      </c>
      <c r="G22" s="3">
        <f>'Gastos Junho'!F131</f>
        <v>406.57</v>
      </c>
      <c r="H22" s="3">
        <f>'Gastos Julho'!F129</f>
        <v>40</v>
      </c>
      <c r="I22" s="6">
        <f>'Gastos Agosto'!F139</f>
        <v>137</v>
      </c>
      <c r="J22" s="6">
        <f>'Gastos Setembro'!F139</f>
        <v>115.04</v>
      </c>
      <c r="K22" s="6">
        <f>'Gastos Outubro'!F139</f>
        <v>145.51</v>
      </c>
      <c r="L22" s="6">
        <f>'Gastos Novembro'!F139</f>
        <v>159.63</v>
      </c>
      <c r="M22" s="6">
        <f>'Gastos Dezembro'!F139</f>
        <v>105</v>
      </c>
    </row>
    <row r="23">
      <c r="A23" s="14" t="s">
        <v>17</v>
      </c>
      <c r="B23" s="6">
        <f t="shared" ref="B23:G23" si="2">SUM(B13:B22)</f>
        <v>1369.183</v>
      </c>
      <c r="C23" s="6">
        <f t="shared" si="2"/>
        <v>1844.4825</v>
      </c>
      <c r="D23" s="6">
        <f t="shared" si="2"/>
        <v>1715.02</v>
      </c>
      <c r="E23" s="6">
        <f t="shared" si="2"/>
        <v>1192.625</v>
      </c>
      <c r="F23" s="6">
        <f t="shared" si="2"/>
        <v>1150.95</v>
      </c>
      <c r="G23" s="6">
        <f t="shared" si="2"/>
        <v>1933.08</v>
      </c>
      <c r="H23" s="6">
        <f>SUM(H13:H22)+48.39</f>
        <v>1568.1</v>
      </c>
      <c r="I23" s="6">
        <f>SUM(I13:I22)+61.23</f>
        <v>1030.465</v>
      </c>
      <c r="J23" s="6">
        <f>SUM(J13:J22)+45.99+125.14</f>
        <v>1524.05</v>
      </c>
      <c r="K23" s="6">
        <f t="shared" ref="K23:M23" si="3">SUM(K13:K22)</f>
        <v>1848.12</v>
      </c>
      <c r="L23" s="6">
        <f t="shared" si="3"/>
        <v>1677.495</v>
      </c>
      <c r="M23" s="6">
        <f t="shared" si="3"/>
        <v>746.51</v>
      </c>
    </row>
    <row r="2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B25" s="3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  <c r="L25" s="4" t="s">
        <v>11</v>
      </c>
      <c r="M25" s="4" t="s">
        <v>12</v>
      </c>
    </row>
    <row r="26">
      <c r="A26" s="14" t="s">
        <v>29</v>
      </c>
      <c r="B26" s="7">
        <f t="shared" ref="B26:E26" si="4">B10-B23</f>
        <v>-108.003</v>
      </c>
      <c r="C26" s="7">
        <f t="shared" si="4"/>
        <v>-606.6925</v>
      </c>
      <c r="D26" s="7">
        <f t="shared" si="4"/>
        <v>-627.23</v>
      </c>
      <c r="E26" s="7">
        <f t="shared" si="4"/>
        <v>1207.205</v>
      </c>
      <c r="F26" s="7">
        <f>F6-F23+60</f>
        <v>4647.165</v>
      </c>
      <c r="G26" s="7">
        <f>G10-G23+5.93</f>
        <v>7278.025</v>
      </c>
      <c r="H26" s="7">
        <f>H10-H23+4.84</f>
        <v>6769.97</v>
      </c>
      <c r="I26" s="7">
        <f>I10-I23-54.46</f>
        <v>7310.865</v>
      </c>
      <c r="J26" s="7">
        <f t="shared" ref="J26:M26" si="5">J10-J23</f>
        <v>8237.525</v>
      </c>
      <c r="K26" s="7">
        <f t="shared" si="5"/>
        <v>7762.26</v>
      </c>
      <c r="L26" s="7">
        <f t="shared" si="5"/>
        <v>7126.725</v>
      </c>
      <c r="M26" s="7">
        <f t="shared" si="5"/>
        <v>6511.41</v>
      </c>
    </row>
    <row r="27">
      <c r="A27" s="14" t="s">
        <v>17</v>
      </c>
      <c r="B27" s="15">
        <f>589.54+B26+124.63+2.3</f>
        <v>608.467</v>
      </c>
      <c r="C27" s="16">
        <v>701.3</v>
      </c>
      <c r="D27" s="17">
        <f>D26+C27+26.15+239.51+203.84</f>
        <v>543.57</v>
      </c>
      <c r="E27" s="18">
        <f>E26+D27-155.02</f>
        <v>1595.755</v>
      </c>
      <c r="F27" s="18">
        <f>F26+291.54-13.39</f>
        <v>4925.315</v>
      </c>
      <c r="G27" s="15">
        <f>G26-70.34</f>
        <v>7207.685</v>
      </c>
      <c r="H27" s="19"/>
      <c r="I27" s="19"/>
      <c r="J27" s="19"/>
      <c r="K27" s="19"/>
      <c r="L27" s="19"/>
      <c r="N27" s="7">
        <f>M14+L14+K14+J14+I14+H14+G14</f>
        <v>961.6166667</v>
      </c>
    </row>
    <row r="28">
      <c r="A28" s="20" t="s">
        <v>30</v>
      </c>
      <c r="B28" s="7"/>
      <c r="C28" s="5">
        <v>350.0</v>
      </c>
      <c r="D28" s="21"/>
      <c r="E28" s="22">
        <v>1500.0</v>
      </c>
      <c r="F28" s="22">
        <v>774.09</v>
      </c>
      <c r="G28" s="22">
        <v>1500.0</v>
      </c>
      <c r="H28" s="22"/>
      <c r="I28" s="22">
        <f>850-I23</f>
        <v>-180.465</v>
      </c>
      <c r="J28" s="21">
        <f>800-J23</f>
        <v>-724.05</v>
      </c>
      <c r="K28" s="21"/>
      <c r="L28" s="21"/>
      <c r="M28" s="7"/>
      <c r="N28" s="7">
        <f>N27/7</f>
        <v>137.3738095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B29" s="5"/>
      <c r="G29" s="23">
        <f>G28-G23</f>
        <v>-433.08</v>
      </c>
      <c r="N29" s="7">
        <f>M15+L15+K15+J15+I15+H15+G15</f>
        <v>200.9533333</v>
      </c>
    </row>
    <row r="30">
      <c r="A30" s="20" t="s">
        <v>31</v>
      </c>
      <c r="B30" s="5"/>
      <c r="C30" s="2"/>
      <c r="E30" s="2"/>
      <c r="I30" s="7"/>
      <c r="J30">
        <f>800*0.1</f>
        <v>80</v>
      </c>
      <c r="N30" s="7">
        <f>N29/7</f>
        <v>28.70761905</v>
      </c>
    </row>
    <row r="31">
      <c r="A31" s="2"/>
      <c r="B31" s="2"/>
      <c r="N31" s="7">
        <f>N28+N30</f>
        <v>166.0814286</v>
      </c>
    </row>
    <row r="32">
      <c r="A32" s="2"/>
      <c r="B32" s="2"/>
      <c r="E32" s="2"/>
    </row>
    <row r="33">
      <c r="A33" s="2"/>
      <c r="B33" s="5"/>
      <c r="E33" s="2"/>
    </row>
    <row r="34">
      <c r="A34" s="2"/>
      <c r="B34" s="2"/>
    </row>
    <row r="35">
      <c r="A35" s="2"/>
      <c r="B35" s="5"/>
      <c r="E35" s="2"/>
    </row>
    <row r="36">
      <c r="A36" s="2"/>
      <c r="B36" s="5"/>
      <c r="L36" s="24"/>
    </row>
    <row r="37">
      <c r="A37" s="2"/>
      <c r="B37" s="5"/>
    </row>
    <row r="38">
      <c r="A38" s="2"/>
      <c r="B38" s="2"/>
    </row>
    <row r="39">
      <c r="B39" s="7"/>
      <c r="G39" s="2">
        <v>3115.18</v>
      </c>
    </row>
    <row r="40">
      <c r="B40" s="7"/>
      <c r="G40">
        <f>G39+4058.5</f>
        <v>7173.68</v>
      </c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  <row r="1001">
      <c r="B1001" s="7"/>
    </row>
    <row r="1002">
      <c r="B1002" s="7"/>
    </row>
  </sheetData>
  <mergeCells count="1">
    <mergeCell ref="A1:M4"/>
  </mergeCells>
  <conditionalFormatting sqref="I17">
    <cfRule type="colorScale" priority="1">
      <colorScale>
        <cfvo type="formula" val="0"/>
        <cfvo type="percent" val="50"/>
        <cfvo type="formula" val="70"/>
        <color rgb="FF57BB8A"/>
        <color rgb="FFFFD666"/>
        <color rgb="FFE67C73"/>
      </colorScale>
    </cfRule>
  </conditionalFormatting>
  <conditionalFormatting sqref="I23">
    <cfRule type="notContainsBlanks" dxfId="0" priority="2">
      <formula>LEN(TRIM(I23))&gt;0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32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 t="s">
        <v>36</v>
      </c>
      <c r="C6" s="27"/>
      <c r="D6" s="28"/>
      <c r="E6" s="34">
        <v>43470.0</v>
      </c>
      <c r="F6" s="31">
        <v>7.0</v>
      </c>
      <c r="G6" s="32"/>
      <c r="H6" s="35" t="s">
        <v>37</v>
      </c>
      <c r="I6" s="27"/>
      <c r="J6" s="28"/>
      <c r="K6" s="36">
        <v>43466.0</v>
      </c>
      <c r="L6" s="3">
        <v>3.4</v>
      </c>
      <c r="M6" s="7"/>
      <c r="N6" s="2"/>
      <c r="O6" s="5"/>
      <c r="S6" s="7"/>
      <c r="U6" s="7"/>
    </row>
    <row r="7">
      <c r="A7" s="33"/>
      <c r="B7" s="35" t="s">
        <v>38</v>
      </c>
      <c r="C7" s="27"/>
      <c r="D7" s="28"/>
      <c r="E7" s="36">
        <v>43471.0</v>
      </c>
      <c r="F7" s="31">
        <v>15.0</v>
      </c>
      <c r="G7" s="37"/>
      <c r="H7" s="35" t="s">
        <v>39</v>
      </c>
      <c r="I7" s="27"/>
      <c r="J7" s="28"/>
      <c r="K7" s="36">
        <v>43467.0</v>
      </c>
      <c r="L7" s="3">
        <v>2.0</v>
      </c>
      <c r="M7" s="7"/>
      <c r="N7" s="2"/>
      <c r="O7" s="5"/>
      <c r="S7" s="7"/>
      <c r="U7" s="7"/>
      <c r="W7" s="7"/>
    </row>
    <row r="8">
      <c r="A8" s="33"/>
      <c r="B8" s="26" t="s">
        <v>40</v>
      </c>
      <c r="C8" s="27"/>
      <c r="D8" s="28"/>
      <c r="E8" s="38">
        <v>43479.0</v>
      </c>
      <c r="F8" s="31">
        <v>7.0</v>
      </c>
      <c r="G8" s="37"/>
      <c r="H8" s="35" t="s">
        <v>41</v>
      </c>
      <c r="I8" s="27"/>
      <c r="J8" s="28"/>
      <c r="K8" s="36">
        <v>43467.0</v>
      </c>
      <c r="L8" s="3">
        <v>3.0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42</v>
      </c>
      <c r="I9" s="27"/>
      <c r="J9" s="28"/>
      <c r="K9" s="36">
        <v>43467.0</v>
      </c>
      <c r="L9" s="3">
        <v>3.99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39</v>
      </c>
      <c r="I10" s="27"/>
      <c r="J10" s="28"/>
      <c r="K10" s="36">
        <v>43468.0</v>
      </c>
      <c r="L10" s="3">
        <v>1.5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43</v>
      </c>
      <c r="I11" s="27"/>
      <c r="J11" s="28"/>
      <c r="K11" s="36">
        <v>43470.0</v>
      </c>
      <c r="L11" s="3">
        <v>14.47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44</v>
      </c>
      <c r="I12" s="27"/>
      <c r="J12" s="28"/>
      <c r="K12" s="36">
        <v>43470.0</v>
      </c>
      <c r="L12" s="3">
        <v>6.0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45</v>
      </c>
      <c r="I13" s="27"/>
      <c r="J13" s="28"/>
      <c r="K13" s="36">
        <v>43471.0</v>
      </c>
      <c r="L13" s="3">
        <v>8.9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39</v>
      </c>
      <c r="I14" s="27"/>
      <c r="J14" s="28"/>
      <c r="K14" s="36">
        <v>43472.0</v>
      </c>
      <c r="L14" s="3">
        <v>2.0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39</v>
      </c>
      <c r="I15" s="27"/>
      <c r="J15" s="28"/>
      <c r="K15" s="36">
        <v>43474.0</v>
      </c>
      <c r="L15" s="3">
        <v>2.0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43475.0</v>
      </c>
      <c r="L16" s="3">
        <v>1.5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44</v>
      </c>
      <c r="I17" s="27"/>
      <c r="J17" s="28"/>
      <c r="K17" s="36">
        <v>43475.0</v>
      </c>
      <c r="L17" s="3">
        <v>3.0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36">
        <v>43476.0</v>
      </c>
      <c r="L18" s="3">
        <v>1.5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39</v>
      </c>
      <c r="I19" s="27"/>
      <c r="J19" s="28"/>
      <c r="K19" s="36">
        <v>43477.0</v>
      </c>
      <c r="L19" s="3">
        <v>0.5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46</v>
      </c>
      <c r="I20" s="27"/>
      <c r="J20" s="28"/>
      <c r="K20" s="36">
        <v>43478.0</v>
      </c>
      <c r="L20" s="3">
        <f>4+0.5</f>
        <v>4.5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43</v>
      </c>
      <c r="I21" s="27"/>
      <c r="J21" s="28"/>
      <c r="K21" s="36">
        <v>43478.0</v>
      </c>
      <c r="L21" s="3">
        <v>15.7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39</v>
      </c>
      <c r="I22" s="27"/>
      <c r="J22" s="28"/>
      <c r="K22" s="36">
        <v>43480.0</v>
      </c>
      <c r="L22" s="3">
        <v>1.5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47</v>
      </c>
      <c r="I23" s="27"/>
      <c r="J23" s="28"/>
      <c r="K23" s="36">
        <v>43481.0</v>
      </c>
      <c r="L23" s="3">
        <v>4.44</v>
      </c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8"/>
      <c r="F24" s="40"/>
      <c r="G24" s="37"/>
      <c r="H24" s="43" t="s">
        <v>39</v>
      </c>
      <c r="I24" s="27"/>
      <c r="J24" s="28"/>
      <c r="K24" s="36">
        <v>43482.0</v>
      </c>
      <c r="L24" s="3">
        <v>1.5</v>
      </c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8"/>
      <c r="F25" s="40"/>
      <c r="G25" s="37"/>
      <c r="H25" s="43" t="s">
        <v>39</v>
      </c>
      <c r="I25" s="27"/>
      <c r="J25" s="28"/>
      <c r="K25" s="36">
        <v>43483.0</v>
      </c>
      <c r="L25" s="3">
        <v>1.5</v>
      </c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8"/>
      <c r="F26" s="40"/>
      <c r="G26" s="37"/>
      <c r="H26" s="43" t="s">
        <v>48</v>
      </c>
      <c r="I26" s="27"/>
      <c r="J26" s="28"/>
      <c r="K26" s="36">
        <v>43483.0</v>
      </c>
      <c r="L26" s="3">
        <v>2.0</v>
      </c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8"/>
      <c r="F27" s="40"/>
      <c r="G27" s="37"/>
      <c r="H27" s="43" t="s">
        <v>44</v>
      </c>
      <c r="I27" s="27"/>
      <c r="J27" s="28"/>
      <c r="K27" s="36">
        <v>43484.0</v>
      </c>
      <c r="L27" s="3">
        <v>5.15</v>
      </c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8"/>
      <c r="F28" s="40"/>
      <c r="G28" s="37"/>
      <c r="H28" s="43" t="s">
        <v>39</v>
      </c>
      <c r="I28" s="27"/>
      <c r="J28" s="28"/>
      <c r="K28" s="36">
        <v>43121.0</v>
      </c>
      <c r="L28" s="3">
        <v>2.0</v>
      </c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8"/>
      <c r="F29" s="40"/>
      <c r="G29" s="37"/>
      <c r="H29" s="43" t="s">
        <v>49</v>
      </c>
      <c r="I29" s="27"/>
      <c r="J29" s="28"/>
      <c r="K29" s="36">
        <v>43122.0</v>
      </c>
      <c r="L29" s="3">
        <f>1.5+3+0.7</f>
        <v>5.2</v>
      </c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8"/>
      <c r="F30" s="40"/>
      <c r="G30" s="37"/>
      <c r="H30" s="43" t="s">
        <v>50</v>
      </c>
      <c r="I30" s="27"/>
      <c r="J30" s="28"/>
      <c r="K30" s="36">
        <v>43123.0</v>
      </c>
      <c r="L30" s="3">
        <f>1.5+2</f>
        <v>3.5</v>
      </c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8"/>
      <c r="F31" s="40"/>
      <c r="G31" s="37"/>
      <c r="H31" s="43" t="s">
        <v>39</v>
      </c>
      <c r="I31" s="27"/>
      <c r="J31" s="28"/>
      <c r="K31" s="36">
        <v>43124.0</v>
      </c>
      <c r="L31" s="3">
        <v>1.503</v>
      </c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8"/>
      <c r="F32" s="40"/>
      <c r="G32" s="37"/>
      <c r="H32" s="43" t="s">
        <v>39</v>
      </c>
      <c r="I32" s="27"/>
      <c r="J32" s="28"/>
      <c r="K32" s="36">
        <v>43490.0</v>
      </c>
      <c r="L32" s="3">
        <v>1.5</v>
      </c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8"/>
      <c r="F33" s="40"/>
      <c r="G33" s="37"/>
      <c r="H33" s="43" t="s">
        <v>39</v>
      </c>
      <c r="I33" s="27"/>
      <c r="J33" s="28"/>
      <c r="K33" s="36">
        <v>43493.0</v>
      </c>
      <c r="L33" s="3">
        <v>1.5</v>
      </c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8"/>
      <c r="F34" s="40"/>
      <c r="G34" s="37"/>
      <c r="H34" s="43" t="s">
        <v>39</v>
      </c>
      <c r="I34" s="27"/>
      <c r="J34" s="28"/>
      <c r="K34" s="36">
        <v>43494.0</v>
      </c>
      <c r="L34" s="3">
        <v>1.5</v>
      </c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8"/>
      <c r="F35" s="40"/>
      <c r="G35" s="37"/>
      <c r="H35" s="43" t="s">
        <v>51</v>
      </c>
      <c r="I35" s="27"/>
      <c r="J35" s="28"/>
      <c r="K35" s="36">
        <v>43495.0</v>
      </c>
      <c r="L35" s="3">
        <f>1.5 +3</f>
        <v>4.5</v>
      </c>
      <c r="M35" s="7"/>
      <c r="N35" s="41"/>
      <c r="O35" s="42"/>
      <c r="Q35" s="7"/>
      <c r="S35" s="7"/>
      <c r="U35" s="7"/>
      <c r="W35" s="7"/>
    </row>
    <row r="36">
      <c r="A36" s="33"/>
      <c r="B36" s="39"/>
      <c r="C36" s="27"/>
      <c r="D36" s="28"/>
      <c r="E36" s="38"/>
      <c r="F36" s="40"/>
      <c r="G36" s="37"/>
      <c r="H36" s="43" t="s">
        <v>39</v>
      </c>
      <c r="I36" s="27"/>
      <c r="J36" s="28"/>
      <c r="K36" s="36">
        <v>43496.0</v>
      </c>
      <c r="L36" s="3">
        <v>2.0</v>
      </c>
      <c r="M36" s="7"/>
      <c r="N36" s="41"/>
      <c r="O36" s="42"/>
      <c r="Q36" s="7"/>
      <c r="S36" s="7"/>
      <c r="U36" s="7"/>
      <c r="W36" s="7"/>
    </row>
    <row r="37">
      <c r="A37" s="33"/>
      <c r="B37" s="39"/>
      <c r="C37" s="27"/>
      <c r="D37" s="28"/>
      <c r="E37" s="38"/>
      <c r="F37" s="40"/>
      <c r="G37" s="37"/>
      <c r="H37" s="43"/>
      <c r="I37" s="27"/>
      <c r="J37" s="28"/>
      <c r="K37" s="36"/>
      <c r="L37" s="3"/>
      <c r="M37" s="7"/>
      <c r="N37" s="41"/>
      <c r="O37" s="42"/>
      <c r="Q37" s="7"/>
      <c r="S37" s="7"/>
      <c r="U37" s="7"/>
      <c r="W37" s="7"/>
    </row>
    <row r="38">
      <c r="A38" s="33"/>
      <c r="B38" s="39"/>
      <c r="C38" s="27"/>
      <c r="D38" s="28"/>
      <c r="E38" s="38"/>
      <c r="F38" s="40"/>
      <c r="G38" s="37"/>
      <c r="H38" s="44"/>
      <c r="I38" s="27"/>
      <c r="J38" s="28"/>
      <c r="K38" s="36"/>
      <c r="L38" s="3"/>
      <c r="M38" s="7"/>
      <c r="N38" s="41"/>
      <c r="O38" s="42"/>
      <c r="Q38" s="7"/>
      <c r="S38" s="7"/>
      <c r="U38" s="7"/>
      <c r="W38" s="7"/>
    </row>
    <row r="39">
      <c r="A39" s="33"/>
      <c r="B39" s="39"/>
      <c r="C39" s="27"/>
      <c r="D39" s="28"/>
      <c r="E39" s="38"/>
      <c r="F39" s="40"/>
      <c r="G39" s="37"/>
      <c r="H39" s="44"/>
      <c r="I39" s="27"/>
      <c r="J39" s="28"/>
      <c r="K39" s="36"/>
      <c r="L39" s="3"/>
      <c r="M39" s="7"/>
      <c r="N39" s="41"/>
      <c r="O39" s="42"/>
      <c r="Q39" s="7"/>
      <c r="S39" s="7"/>
      <c r="U39" s="7"/>
      <c r="W39" s="7"/>
    </row>
    <row r="40">
      <c r="A40" s="2"/>
      <c r="B40" s="35" t="s">
        <v>17</v>
      </c>
      <c r="C40" s="27"/>
      <c r="D40" s="28"/>
      <c r="E40" s="45"/>
      <c r="F40" s="6">
        <f>SUM(F6:F12)</f>
        <v>29</v>
      </c>
      <c r="G40" s="7"/>
      <c r="H40" s="35" t="s">
        <v>17</v>
      </c>
      <c r="I40" s="27"/>
      <c r="J40" s="28"/>
      <c r="K40" s="6"/>
      <c r="L40" s="6">
        <f>SUM(L6:L39)</f>
        <v>113.253</v>
      </c>
      <c r="M40" s="7"/>
      <c r="N40" s="41"/>
      <c r="O40" s="20"/>
      <c r="Q40" s="7"/>
      <c r="S40" s="7"/>
      <c r="U40" s="7"/>
      <c r="W40" s="7"/>
    </row>
    <row r="41" ht="9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7"/>
      <c r="N41" s="46"/>
      <c r="O41" s="47"/>
      <c r="Q41" s="7"/>
      <c r="S41" s="7"/>
      <c r="U41" s="7"/>
      <c r="W41" s="7"/>
    </row>
    <row r="42">
      <c r="A42" s="25"/>
      <c r="B42" s="26" t="s">
        <v>26</v>
      </c>
      <c r="C42" s="27"/>
      <c r="D42" s="27"/>
      <c r="E42" s="27"/>
      <c r="F42" s="28"/>
      <c r="G42" s="25"/>
      <c r="H42" s="26" t="s">
        <v>25</v>
      </c>
      <c r="I42" s="27"/>
      <c r="J42" s="27"/>
      <c r="K42" s="27"/>
      <c r="L42" s="28"/>
      <c r="M42" s="7"/>
      <c r="N42" s="46"/>
      <c r="O42" s="47"/>
      <c r="Q42" s="7"/>
      <c r="S42" s="7"/>
      <c r="U42" s="7"/>
      <c r="W42" s="7"/>
    </row>
    <row r="43">
      <c r="A43" s="25"/>
      <c r="B43" s="26" t="s">
        <v>33</v>
      </c>
      <c r="C43" s="27"/>
      <c r="D43" s="28"/>
      <c r="E43" s="30" t="s">
        <v>34</v>
      </c>
      <c r="F43" s="31" t="s">
        <v>35</v>
      </c>
      <c r="G43" s="32"/>
      <c r="H43" s="26" t="s">
        <v>33</v>
      </c>
      <c r="I43" s="27"/>
      <c r="J43" s="28"/>
      <c r="K43" s="30" t="s">
        <v>34</v>
      </c>
      <c r="L43" s="31" t="s">
        <v>35</v>
      </c>
      <c r="M43" s="7"/>
      <c r="O43" s="7"/>
      <c r="Q43" s="7"/>
      <c r="S43" s="7"/>
      <c r="U43" s="7"/>
      <c r="W43" s="7"/>
    </row>
    <row r="44">
      <c r="A44" s="2"/>
      <c r="B44" s="35"/>
      <c r="C44" s="27"/>
      <c r="D44" s="28"/>
      <c r="E44" s="36"/>
      <c r="F44" s="3"/>
      <c r="G44" s="5"/>
      <c r="H44" s="35" t="s">
        <v>52</v>
      </c>
      <c r="I44" s="27"/>
      <c r="J44" s="28"/>
      <c r="K44" s="48">
        <v>43473.0</v>
      </c>
      <c r="L44" s="49">
        <v>2.44</v>
      </c>
      <c r="M44" s="7"/>
      <c r="O44" s="7"/>
      <c r="Q44" s="7"/>
      <c r="S44" s="7"/>
      <c r="U44" s="7"/>
      <c r="W44" s="7"/>
    </row>
    <row r="45">
      <c r="A45" s="50"/>
      <c r="B45" s="35" t="s">
        <v>53</v>
      </c>
      <c r="C45" s="27"/>
      <c r="D45" s="28"/>
      <c r="E45" s="36">
        <v>43467.0</v>
      </c>
      <c r="F45" s="3">
        <v>8.69</v>
      </c>
      <c r="G45" s="7"/>
      <c r="H45" s="35" t="s">
        <v>54</v>
      </c>
      <c r="I45" s="27"/>
      <c r="J45" s="28"/>
      <c r="K45" s="36">
        <v>43475.0</v>
      </c>
      <c r="L45" s="49">
        <v>3.0</v>
      </c>
      <c r="M45" s="7">
        <f>L47+L50+L52+L55+L61</f>
        <v>18.39</v>
      </c>
      <c r="O45" s="7"/>
      <c r="Q45" s="7"/>
      <c r="S45" s="7"/>
      <c r="U45" s="7"/>
      <c r="W45" s="7"/>
    </row>
    <row r="46">
      <c r="A46" s="50"/>
      <c r="B46" s="35" t="s">
        <v>55</v>
      </c>
      <c r="C46" s="27"/>
      <c r="D46" s="28"/>
      <c r="E46" s="36">
        <v>43469.0</v>
      </c>
      <c r="F46" s="3">
        <v>16.0</v>
      </c>
      <c r="G46" s="7"/>
      <c r="H46" s="35" t="s">
        <v>56</v>
      </c>
      <c r="I46" s="27"/>
      <c r="J46" s="28"/>
      <c r="K46" s="36">
        <v>43477.0</v>
      </c>
      <c r="L46" s="49">
        <v>6.0</v>
      </c>
      <c r="M46" s="7">
        <f>L46+L49+L59</f>
        <v>19.5</v>
      </c>
      <c r="O46" s="7"/>
      <c r="Q46" s="7"/>
      <c r="S46" s="7"/>
      <c r="U46" s="7"/>
      <c r="W46" s="7"/>
    </row>
    <row r="47">
      <c r="A47" s="50"/>
      <c r="B47" s="35" t="s">
        <v>57</v>
      </c>
      <c r="C47" s="27"/>
      <c r="D47" s="28"/>
      <c r="E47" s="36">
        <v>43470.0</v>
      </c>
      <c r="F47" s="3">
        <v>19.0</v>
      </c>
      <c r="G47" s="7"/>
      <c r="H47" s="35" t="s">
        <v>58</v>
      </c>
      <c r="I47" s="27"/>
      <c r="J47" s="28"/>
      <c r="K47" s="36">
        <v>43476.0</v>
      </c>
      <c r="L47" s="49">
        <v>4.0</v>
      </c>
      <c r="M47" s="7">
        <f>L48+L57+L62</f>
        <v>44</v>
      </c>
      <c r="O47" s="7"/>
      <c r="Q47" s="7"/>
      <c r="S47" s="7"/>
      <c r="U47" s="7"/>
      <c r="W47" s="7"/>
    </row>
    <row r="48">
      <c r="A48" s="50"/>
      <c r="B48" s="35" t="s">
        <v>59</v>
      </c>
      <c r="C48" s="27"/>
      <c r="D48" s="28"/>
      <c r="E48" s="36">
        <v>43471.0</v>
      </c>
      <c r="F48" s="3">
        <v>109.98</v>
      </c>
      <c r="G48" s="7"/>
      <c r="H48" s="35" t="s">
        <v>60</v>
      </c>
      <c r="I48" s="27"/>
      <c r="J48" s="28"/>
      <c r="K48" s="36">
        <v>43477.0</v>
      </c>
      <c r="L48" s="49">
        <v>14.0</v>
      </c>
      <c r="M48" s="7"/>
      <c r="O48" s="7"/>
      <c r="Q48" s="7"/>
      <c r="S48" s="7"/>
      <c r="U48" s="7"/>
      <c r="W48" s="7"/>
    </row>
    <row r="49">
      <c r="A49" s="50"/>
      <c r="B49" s="35"/>
      <c r="C49" s="27"/>
      <c r="D49" s="28"/>
      <c r="E49" s="36"/>
      <c r="F49" s="3"/>
      <c r="G49" s="7"/>
      <c r="H49" s="35" t="s">
        <v>56</v>
      </c>
      <c r="I49" s="27"/>
      <c r="J49" s="28"/>
      <c r="K49" s="48">
        <v>43113.0</v>
      </c>
      <c r="L49" s="49">
        <v>8.0</v>
      </c>
      <c r="M49" s="7"/>
      <c r="O49" s="7"/>
      <c r="P49" s="2"/>
      <c r="Q49" s="7"/>
      <c r="S49" s="7"/>
      <c r="U49" s="7"/>
      <c r="W49" s="7"/>
    </row>
    <row r="50">
      <c r="A50" s="50"/>
      <c r="B50" s="35" t="s">
        <v>61</v>
      </c>
      <c r="C50" s="27"/>
      <c r="D50" s="28"/>
      <c r="E50" s="36">
        <v>43473.0</v>
      </c>
      <c r="F50" s="3">
        <v>100.0</v>
      </c>
      <c r="G50" s="7"/>
      <c r="H50" s="35" t="s">
        <v>58</v>
      </c>
      <c r="I50" s="27"/>
      <c r="J50" s="28"/>
      <c r="K50" s="36">
        <v>43479.0</v>
      </c>
      <c r="L50" s="49">
        <v>4.0</v>
      </c>
      <c r="M50" s="7"/>
      <c r="O50" s="7"/>
      <c r="Q50" s="7"/>
      <c r="S50" s="7"/>
      <c r="U50" s="7"/>
      <c r="W50" s="7"/>
    </row>
    <row r="51">
      <c r="A51" s="50"/>
      <c r="B51" s="35" t="s">
        <v>62</v>
      </c>
      <c r="C51" s="27"/>
      <c r="D51" s="28"/>
      <c r="E51" s="36">
        <v>43473.0</v>
      </c>
      <c r="F51" s="3">
        <v>25.9</v>
      </c>
      <c r="G51" s="7"/>
      <c r="H51" s="35" t="s">
        <v>63</v>
      </c>
      <c r="I51" s="27"/>
      <c r="J51" s="28"/>
      <c r="K51" s="36">
        <v>43482.0</v>
      </c>
      <c r="L51" s="49">
        <v>2.0</v>
      </c>
      <c r="M51" s="7"/>
      <c r="O51" s="7"/>
      <c r="Q51" s="7"/>
      <c r="S51" s="7"/>
      <c r="U51" s="7"/>
      <c r="W51" s="7"/>
    </row>
    <row r="52">
      <c r="A52" s="50"/>
      <c r="B52" s="35" t="s">
        <v>64</v>
      </c>
      <c r="C52" s="27"/>
      <c r="D52" s="28"/>
      <c r="E52" s="36">
        <v>43474.0</v>
      </c>
      <c r="F52" s="3">
        <v>24.0</v>
      </c>
      <c r="G52" s="7"/>
      <c r="H52" s="35" t="s">
        <v>58</v>
      </c>
      <c r="I52" s="27"/>
      <c r="J52" s="28"/>
      <c r="K52" s="36">
        <v>43482.0</v>
      </c>
      <c r="L52" s="49">
        <v>2.39</v>
      </c>
      <c r="M52" s="7"/>
      <c r="O52" s="7"/>
      <c r="Q52" s="7"/>
      <c r="S52" s="7"/>
      <c r="U52" s="7"/>
      <c r="W52" s="7"/>
    </row>
    <row r="53">
      <c r="A53" s="50"/>
      <c r="B53" s="35" t="s">
        <v>65</v>
      </c>
      <c r="C53" s="27"/>
      <c r="D53" s="28"/>
      <c r="E53" s="36">
        <v>43475.0</v>
      </c>
      <c r="F53" s="3">
        <v>7.0</v>
      </c>
      <c r="G53" s="7"/>
      <c r="H53" s="35" t="s">
        <v>66</v>
      </c>
      <c r="I53" s="27"/>
      <c r="J53" s="28"/>
      <c r="K53" s="36">
        <v>43486.0</v>
      </c>
      <c r="L53" s="49">
        <v>12.12</v>
      </c>
      <c r="M53" s="7"/>
      <c r="O53" s="7"/>
      <c r="Q53" s="7"/>
      <c r="S53" s="7"/>
      <c r="U53" s="7"/>
      <c r="W53" s="7"/>
    </row>
    <row r="54">
      <c r="A54" s="50"/>
      <c r="B54" s="35" t="s">
        <v>67</v>
      </c>
      <c r="C54" s="27"/>
      <c r="D54" s="28"/>
      <c r="E54" s="36">
        <v>43112.0</v>
      </c>
      <c r="F54" s="3">
        <v>5.0</v>
      </c>
      <c r="G54" s="7"/>
      <c r="H54" s="35" t="s">
        <v>68</v>
      </c>
      <c r="I54" s="27"/>
      <c r="J54" s="28"/>
      <c r="K54" s="36">
        <v>43489.0</v>
      </c>
      <c r="L54" s="49">
        <v>2.6</v>
      </c>
      <c r="M54" s="7"/>
      <c r="O54" s="7"/>
      <c r="Q54" s="7"/>
      <c r="S54" s="7"/>
      <c r="U54" s="7"/>
      <c r="W54" s="7"/>
    </row>
    <row r="55">
      <c r="A55" s="50"/>
      <c r="B55" s="35" t="s">
        <v>69</v>
      </c>
      <c r="C55" s="27"/>
      <c r="D55" s="28"/>
      <c r="E55" s="36">
        <v>43113.0</v>
      </c>
      <c r="F55" s="3">
        <v>3.8</v>
      </c>
      <c r="G55" s="7"/>
      <c r="H55" s="35" t="s">
        <v>58</v>
      </c>
      <c r="I55" s="27"/>
      <c r="J55" s="28"/>
      <c r="K55" s="36">
        <v>43490.0</v>
      </c>
      <c r="L55" s="49">
        <v>4.0</v>
      </c>
      <c r="M55" s="7"/>
      <c r="O55" s="7"/>
      <c r="Q55" s="7"/>
      <c r="S55" s="7"/>
      <c r="U55" s="7"/>
      <c r="W55" s="7"/>
    </row>
    <row r="56">
      <c r="A56" s="50"/>
      <c r="B56" s="35" t="s">
        <v>70</v>
      </c>
      <c r="C56" s="27"/>
      <c r="D56" s="28"/>
      <c r="E56" s="36">
        <v>43479.0</v>
      </c>
      <c r="F56" s="3">
        <v>250.0</v>
      </c>
      <c r="G56" s="7"/>
      <c r="H56" s="35" t="s">
        <v>71</v>
      </c>
      <c r="I56" s="27"/>
      <c r="J56" s="28"/>
      <c r="K56" s="36">
        <v>43493.0</v>
      </c>
      <c r="L56" s="51">
        <f>6.7-1.5</f>
        <v>5.2</v>
      </c>
      <c r="M56" s="7"/>
      <c r="O56" s="7"/>
      <c r="Q56" s="7"/>
      <c r="S56" s="7"/>
      <c r="U56" s="7"/>
      <c r="W56" s="7"/>
    </row>
    <row r="57">
      <c r="A57" s="50"/>
      <c r="B57" s="35" t="s">
        <v>72</v>
      </c>
      <c r="C57" s="27"/>
      <c r="D57" s="28"/>
      <c r="E57" s="36">
        <v>43481.0</v>
      </c>
      <c r="F57" s="3">
        <v>25.0</v>
      </c>
      <c r="G57" s="7"/>
      <c r="H57" s="35" t="s">
        <v>73</v>
      </c>
      <c r="I57" s="27"/>
      <c r="J57" s="28"/>
      <c r="K57" s="36">
        <v>43491.0</v>
      </c>
      <c r="L57" s="51">
        <f>15+(15-8)</f>
        <v>22</v>
      </c>
      <c r="M57" s="7"/>
      <c r="O57" s="7"/>
      <c r="Q57" s="7"/>
      <c r="S57" s="7"/>
      <c r="U57" s="7"/>
      <c r="W57" s="7"/>
    </row>
    <row r="58">
      <c r="A58" s="50"/>
      <c r="B58" s="35" t="s">
        <v>61</v>
      </c>
      <c r="C58" s="27"/>
      <c r="D58" s="28"/>
      <c r="E58" s="36">
        <v>43483.0</v>
      </c>
      <c r="F58" s="3">
        <v>70.0</v>
      </c>
      <c r="G58" s="7"/>
      <c r="H58" s="35" t="s">
        <v>74</v>
      </c>
      <c r="I58" s="27"/>
      <c r="J58" s="28"/>
      <c r="K58" s="36">
        <v>43491.0</v>
      </c>
      <c r="L58" s="49">
        <v>5.03</v>
      </c>
      <c r="M58" s="7"/>
      <c r="O58" s="7"/>
      <c r="Q58" s="7"/>
      <c r="S58" s="7"/>
      <c r="U58" s="7"/>
      <c r="W58" s="7"/>
    </row>
    <row r="59">
      <c r="A59" s="50"/>
      <c r="B59" s="35" t="s">
        <v>75</v>
      </c>
      <c r="C59" s="27"/>
      <c r="D59" s="28"/>
      <c r="E59" s="36">
        <v>43484.0</v>
      </c>
      <c r="F59" s="3">
        <f>19.9+9</f>
        <v>28.9</v>
      </c>
      <c r="G59" s="7"/>
      <c r="H59" s="35" t="s">
        <v>76</v>
      </c>
      <c r="I59" s="27"/>
      <c r="J59" s="28"/>
      <c r="K59" s="36">
        <v>43492.0</v>
      </c>
      <c r="L59" s="49">
        <v>5.5</v>
      </c>
      <c r="M59" s="7"/>
      <c r="O59" s="7"/>
      <c r="Q59" s="7"/>
      <c r="S59" s="7"/>
      <c r="U59" s="7"/>
      <c r="W59" s="7"/>
    </row>
    <row r="60">
      <c r="A60" s="50"/>
      <c r="B60" s="35" t="s">
        <v>77</v>
      </c>
      <c r="C60" s="27"/>
      <c r="D60" s="28"/>
      <c r="E60" s="36">
        <v>43487.0</v>
      </c>
      <c r="F60" s="3">
        <v>24.0</v>
      </c>
      <c r="G60" s="7"/>
      <c r="H60" s="35" t="s">
        <v>78</v>
      </c>
      <c r="I60" s="27"/>
      <c r="J60" s="28"/>
      <c r="K60" s="36">
        <v>43494.0</v>
      </c>
      <c r="L60" s="49">
        <v>6.48</v>
      </c>
      <c r="M60" s="7"/>
      <c r="O60" s="7"/>
      <c r="Q60" s="7"/>
      <c r="S60" s="7"/>
      <c r="U60" s="7"/>
      <c r="W60" s="7"/>
    </row>
    <row r="61">
      <c r="A61" s="50"/>
      <c r="B61" s="35" t="s">
        <v>79</v>
      </c>
      <c r="C61" s="27"/>
      <c r="D61" s="28"/>
      <c r="E61" s="36">
        <v>43488.0</v>
      </c>
      <c r="F61" s="3">
        <v>150.0</v>
      </c>
      <c r="G61" s="7"/>
      <c r="H61" s="35" t="s">
        <v>58</v>
      </c>
      <c r="I61" s="27"/>
      <c r="J61" s="28"/>
      <c r="K61" s="36">
        <v>43495.0</v>
      </c>
      <c r="L61" s="49">
        <v>4.0</v>
      </c>
      <c r="M61" s="7"/>
      <c r="O61" s="7"/>
      <c r="Q61" s="7"/>
      <c r="S61" s="7"/>
      <c r="U61" s="7"/>
      <c r="W61" s="7"/>
    </row>
    <row r="62">
      <c r="A62" s="50"/>
      <c r="B62" s="35" t="s">
        <v>61</v>
      </c>
      <c r="C62" s="27"/>
      <c r="D62" s="28"/>
      <c r="E62" s="36">
        <v>43492.0</v>
      </c>
      <c r="F62" s="3">
        <v>70.0</v>
      </c>
      <c r="G62" s="7"/>
      <c r="H62" s="35" t="s">
        <v>80</v>
      </c>
      <c r="I62" s="27"/>
      <c r="J62" s="28"/>
      <c r="K62" s="36">
        <v>43496.0</v>
      </c>
      <c r="L62" s="49">
        <v>8.0</v>
      </c>
      <c r="M62" s="7"/>
      <c r="O62" s="7"/>
      <c r="Q62" s="7"/>
      <c r="S62" s="7"/>
      <c r="U62" s="7"/>
      <c r="W62" s="7"/>
    </row>
    <row r="63">
      <c r="A63" s="50"/>
      <c r="B63" s="35" t="s">
        <v>81</v>
      </c>
      <c r="C63" s="27"/>
      <c r="D63" s="28"/>
      <c r="E63" s="36">
        <v>43492.0</v>
      </c>
      <c r="F63" s="3">
        <v>4.0</v>
      </c>
      <c r="G63" s="7"/>
      <c r="H63" s="52"/>
      <c r="I63" s="27"/>
      <c r="J63" s="28"/>
      <c r="K63" s="6"/>
      <c r="L63" s="51"/>
      <c r="M63" s="7"/>
      <c r="O63" s="7"/>
      <c r="Q63" s="7"/>
      <c r="S63" s="7"/>
      <c r="U63" s="7"/>
      <c r="W63" s="7"/>
    </row>
    <row r="64">
      <c r="A64" s="50"/>
      <c r="B64" s="35"/>
      <c r="C64" s="27"/>
      <c r="D64" s="28"/>
      <c r="E64" s="36"/>
      <c r="F64" s="3"/>
      <c r="G64" s="7"/>
      <c r="H64" s="52"/>
      <c r="I64" s="27"/>
      <c r="J64" s="28"/>
      <c r="K64" s="6"/>
      <c r="L64" s="51"/>
      <c r="M64" s="7"/>
      <c r="O64" s="7"/>
      <c r="Q64" s="7"/>
      <c r="S64" s="7"/>
      <c r="U64" s="7"/>
      <c r="W64" s="7"/>
    </row>
    <row r="65">
      <c r="A65" s="2"/>
      <c r="B65" s="35" t="s">
        <v>17</v>
      </c>
      <c r="C65" s="27"/>
      <c r="D65" s="28"/>
      <c r="E65" s="45"/>
      <c r="F65" s="6">
        <f>SUM(F44:F64)</f>
        <v>941.27</v>
      </c>
      <c r="G65" s="7"/>
      <c r="H65" s="52"/>
      <c r="I65" s="27"/>
      <c r="J65" s="28"/>
      <c r="K65" s="6"/>
      <c r="L65" s="6">
        <f>SUM(L44:L64)</f>
        <v>120.76</v>
      </c>
      <c r="M65" s="7"/>
      <c r="O65" s="7"/>
      <c r="Q65" s="7"/>
      <c r="S65" s="7"/>
      <c r="U65" s="7"/>
      <c r="W65" s="7"/>
    </row>
    <row r="66">
      <c r="A66" s="50"/>
      <c r="B66" s="50"/>
      <c r="C66" s="7"/>
      <c r="F66" s="7"/>
      <c r="G66" s="7"/>
      <c r="I66" s="7"/>
      <c r="K66" s="7"/>
      <c r="L66" s="7"/>
      <c r="M66" s="7"/>
      <c r="O66" s="7"/>
      <c r="Q66" s="7"/>
      <c r="S66" s="7"/>
      <c r="U66" s="7"/>
      <c r="W66" s="7"/>
    </row>
    <row r="67">
      <c r="A67" s="25"/>
      <c r="B67" s="26" t="s">
        <v>24</v>
      </c>
      <c r="C67" s="27"/>
      <c r="D67" s="27"/>
      <c r="E67" s="27"/>
      <c r="F67" s="28"/>
      <c r="G67" s="7"/>
      <c r="H67" s="26" t="s">
        <v>19</v>
      </c>
      <c r="I67" s="27"/>
      <c r="J67" s="27"/>
      <c r="K67" s="27"/>
      <c r="L67" s="28"/>
      <c r="M67" s="7"/>
      <c r="O67" s="7"/>
      <c r="Q67" s="7"/>
      <c r="S67" s="7"/>
      <c r="U67" s="7"/>
      <c r="W67" s="7"/>
    </row>
    <row r="68">
      <c r="A68" s="25"/>
      <c r="B68" s="26" t="s">
        <v>33</v>
      </c>
      <c r="C68" s="27"/>
      <c r="D68" s="28"/>
      <c r="E68" s="30" t="s">
        <v>34</v>
      </c>
      <c r="F68" s="31" t="s">
        <v>35</v>
      </c>
      <c r="G68" s="7"/>
      <c r="H68" s="26" t="s">
        <v>33</v>
      </c>
      <c r="I68" s="27"/>
      <c r="J68" s="28"/>
      <c r="K68" s="30" t="s">
        <v>34</v>
      </c>
      <c r="L68" s="31" t="s">
        <v>35</v>
      </c>
      <c r="M68" s="7"/>
      <c r="O68" s="7"/>
      <c r="Q68" s="7"/>
      <c r="S68" s="7"/>
      <c r="U68" s="7"/>
      <c r="W68" s="7"/>
    </row>
    <row r="69">
      <c r="A69" s="2"/>
      <c r="B69" s="35" t="s">
        <v>82</v>
      </c>
      <c r="C69" s="27"/>
      <c r="D69" s="28"/>
      <c r="E69" s="36">
        <v>43496.0</v>
      </c>
      <c r="F69" s="3">
        <v>10.0</v>
      </c>
      <c r="G69" s="7"/>
      <c r="H69" s="35"/>
      <c r="I69" s="27"/>
      <c r="J69" s="28"/>
      <c r="K69" s="36"/>
      <c r="L69" s="3"/>
      <c r="M69" s="7"/>
      <c r="O69" s="7"/>
      <c r="Q69" s="7"/>
      <c r="S69" s="7"/>
      <c r="U69" s="7"/>
      <c r="W69" s="7"/>
    </row>
    <row r="70">
      <c r="A70" s="50"/>
      <c r="B70" s="35"/>
      <c r="C70" s="27"/>
      <c r="D70" s="28"/>
      <c r="E70" s="36"/>
      <c r="F70" s="3"/>
      <c r="G70" s="7"/>
      <c r="H70" s="35"/>
      <c r="I70" s="27"/>
      <c r="J70" s="28"/>
      <c r="K70" s="36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35"/>
      <c r="I71" s="27"/>
      <c r="J71" s="28"/>
      <c r="K71" s="36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35"/>
      <c r="I72" s="27"/>
      <c r="J72" s="28"/>
      <c r="K72" s="36"/>
      <c r="L72" s="3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45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45"/>
      <c r="L74" s="6"/>
      <c r="M74" s="7"/>
      <c r="O74" s="7"/>
      <c r="Q74" s="7"/>
      <c r="S74" s="7"/>
      <c r="U74" s="7"/>
      <c r="W74" s="7"/>
    </row>
    <row r="75">
      <c r="A75" s="50"/>
      <c r="B75" s="53"/>
      <c r="C75" s="27"/>
      <c r="D75" s="28"/>
      <c r="E75" s="45"/>
      <c r="F75" s="6"/>
      <c r="G75" s="7"/>
      <c r="H75" s="53"/>
      <c r="I75" s="27"/>
      <c r="J75" s="28"/>
      <c r="K75" s="45"/>
      <c r="L75" s="6"/>
      <c r="M75" s="7"/>
      <c r="O75" s="7"/>
      <c r="Q75" s="7"/>
      <c r="S75" s="7"/>
      <c r="U75" s="7"/>
      <c r="W75" s="7"/>
    </row>
    <row r="76">
      <c r="A76" s="2"/>
      <c r="B76" s="35" t="s">
        <v>17</v>
      </c>
      <c r="C76" s="27"/>
      <c r="D76" s="28"/>
      <c r="E76" s="45"/>
      <c r="F76" s="6">
        <f>SUM(F69:F75)</f>
        <v>10</v>
      </c>
      <c r="G76" s="7"/>
      <c r="H76" s="35" t="s">
        <v>17</v>
      </c>
      <c r="I76" s="27"/>
      <c r="J76" s="28"/>
      <c r="K76" s="45"/>
      <c r="L76" s="6">
        <f>SUM(L69:L75)</f>
        <v>0</v>
      </c>
      <c r="M76" s="7"/>
      <c r="O76" s="7"/>
      <c r="Q76" s="7"/>
      <c r="S76" s="7"/>
      <c r="U76" s="7"/>
      <c r="W76" s="7"/>
    </row>
    <row r="77">
      <c r="F77" s="7"/>
      <c r="G77" s="7"/>
      <c r="I77" s="7"/>
      <c r="K77" s="7"/>
      <c r="L77" s="7"/>
      <c r="M77" s="7"/>
      <c r="O77" s="7"/>
      <c r="Q77" s="7"/>
      <c r="S77" s="7"/>
      <c r="U77" s="7"/>
      <c r="W77" s="7"/>
    </row>
    <row r="78">
      <c r="A78" s="25"/>
      <c r="B78" s="26" t="s">
        <v>21</v>
      </c>
      <c r="C78" s="27"/>
      <c r="D78" s="27"/>
      <c r="E78" s="27"/>
      <c r="F78" s="28"/>
      <c r="G78" s="7"/>
      <c r="H78" s="26" t="s">
        <v>20</v>
      </c>
      <c r="I78" s="27"/>
      <c r="J78" s="27"/>
      <c r="K78" s="27"/>
      <c r="L78" s="28"/>
      <c r="M78" s="7"/>
      <c r="O78" s="7"/>
      <c r="Q78" s="7"/>
      <c r="S78" s="7"/>
      <c r="U78" s="7"/>
      <c r="W78" s="7"/>
    </row>
    <row r="79">
      <c r="A79" s="25"/>
      <c r="B79" s="26" t="s">
        <v>33</v>
      </c>
      <c r="C79" s="27"/>
      <c r="D79" s="28"/>
      <c r="E79" s="30" t="s">
        <v>34</v>
      </c>
      <c r="F79" s="31" t="s">
        <v>35</v>
      </c>
      <c r="G79" s="7"/>
      <c r="H79" s="26" t="s">
        <v>33</v>
      </c>
      <c r="I79" s="27"/>
      <c r="J79" s="28"/>
      <c r="K79" s="30" t="s">
        <v>34</v>
      </c>
      <c r="L79" s="31" t="s">
        <v>35</v>
      </c>
      <c r="M79" s="7"/>
      <c r="O79" s="7"/>
      <c r="Q79" s="7"/>
      <c r="S79" s="7"/>
      <c r="U79" s="7"/>
      <c r="W79" s="7"/>
    </row>
    <row r="80">
      <c r="A80" s="2"/>
      <c r="B80" s="35"/>
      <c r="C80" s="27"/>
      <c r="D80" s="28"/>
      <c r="E80" s="36"/>
      <c r="F80" s="3"/>
      <c r="G80" s="7"/>
      <c r="H80" s="35"/>
      <c r="I80" s="27"/>
      <c r="J80" s="28"/>
      <c r="K80" s="36"/>
      <c r="L80" s="3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45"/>
      <c r="F81" s="6"/>
      <c r="G81" s="7"/>
      <c r="H81" s="53"/>
      <c r="I81" s="27"/>
      <c r="J81" s="28"/>
      <c r="K81" s="45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45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45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45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45"/>
      <c r="F85" s="6"/>
      <c r="G85" s="7"/>
      <c r="H85" s="53"/>
      <c r="I85" s="27"/>
      <c r="J85" s="28"/>
      <c r="K85" s="45"/>
      <c r="L85" s="6"/>
      <c r="M85" s="7"/>
      <c r="O85" s="7"/>
      <c r="Q85" s="7"/>
      <c r="S85" s="7"/>
      <c r="U85" s="7"/>
      <c r="W85" s="7"/>
    </row>
    <row r="86">
      <c r="A86" s="50"/>
      <c r="B86" s="53"/>
      <c r="C86" s="27"/>
      <c r="D86" s="28"/>
      <c r="E86" s="45"/>
      <c r="F86" s="6"/>
      <c r="G86" s="7"/>
      <c r="H86" s="53"/>
      <c r="I86" s="27"/>
      <c r="J86" s="28"/>
      <c r="K86" s="45"/>
      <c r="L86" s="6"/>
      <c r="M86" s="7"/>
      <c r="O86" s="7"/>
      <c r="Q86" s="7"/>
      <c r="S86" s="7"/>
      <c r="U86" s="7"/>
      <c r="W86" s="7"/>
    </row>
    <row r="87">
      <c r="A87" s="2"/>
      <c r="B87" s="35" t="s">
        <v>17</v>
      </c>
      <c r="C87" s="27"/>
      <c r="D87" s="28"/>
      <c r="E87" s="45"/>
      <c r="F87" s="6">
        <f>SUM(F80:F86)</f>
        <v>0</v>
      </c>
      <c r="G87" s="7"/>
      <c r="H87" s="35" t="s">
        <v>17</v>
      </c>
      <c r="I87" s="27"/>
      <c r="J87" s="28"/>
      <c r="K87" s="45"/>
      <c r="L87" s="6">
        <f>SUM(L80:L86)</f>
        <v>0</v>
      </c>
      <c r="M87" s="7"/>
      <c r="O87" s="7"/>
      <c r="Q87" s="7"/>
      <c r="S87" s="7"/>
      <c r="U87" s="7"/>
      <c r="W87" s="7"/>
    </row>
    <row r="88">
      <c r="F88" s="7"/>
      <c r="G88" s="7"/>
      <c r="I88" s="7"/>
      <c r="K88" s="7"/>
      <c r="L88" s="7"/>
      <c r="M88" s="7"/>
      <c r="O88" s="7"/>
      <c r="Q88" s="7"/>
      <c r="S88" s="7"/>
      <c r="U88" s="7"/>
      <c r="W88" s="7"/>
    </row>
    <row r="89">
      <c r="A89" s="25"/>
      <c r="B89" s="26" t="s">
        <v>22</v>
      </c>
      <c r="C89" s="27"/>
      <c r="D89" s="27"/>
      <c r="E89" s="27"/>
      <c r="F89" s="28"/>
      <c r="G89" s="7"/>
      <c r="H89" s="26" t="s">
        <v>83</v>
      </c>
      <c r="I89" s="27"/>
      <c r="J89" s="27"/>
      <c r="K89" s="27"/>
      <c r="L89" s="28"/>
      <c r="M89" s="7"/>
      <c r="O89" s="7"/>
      <c r="Q89" s="7"/>
      <c r="S89" s="7"/>
      <c r="U89" s="7"/>
      <c r="W89" s="7"/>
    </row>
    <row r="90">
      <c r="A90" s="25"/>
      <c r="B90" s="26" t="s">
        <v>33</v>
      </c>
      <c r="C90" s="27"/>
      <c r="D90" s="28"/>
      <c r="E90" s="30" t="s">
        <v>34</v>
      </c>
      <c r="F90" s="31" t="s">
        <v>35</v>
      </c>
      <c r="G90" s="7"/>
      <c r="H90" s="26" t="s">
        <v>33</v>
      </c>
      <c r="I90" s="27"/>
      <c r="J90" s="28"/>
      <c r="K90" s="30" t="s">
        <v>34</v>
      </c>
      <c r="L90" s="31" t="s">
        <v>35</v>
      </c>
      <c r="M90" s="7"/>
      <c r="O90" s="7"/>
      <c r="Q90" s="7"/>
      <c r="S90" s="7"/>
      <c r="U90" s="7"/>
      <c r="W90" s="7"/>
    </row>
    <row r="91">
      <c r="A91" s="2"/>
      <c r="B91" s="35"/>
      <c r="C91" s="27"/>
      <c r="D91" s="28"/>
      <c r="E91" s="36"/>
      <c r="F91" s="3"/>
      <c r="G91" s="7"/>
      <c r="H91" s="35"/>
      <c r="I91" s="27"/>
      <c r="J91" s="28"/>
      <c r="K91" s="36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45"/>
      <c r="F92" s="6"/>
      <c r="G92" s="7"/>
      <c r="H92" s="53"/>
      <c r="I92" s="27"/>
      <c r="J92" s="28"/>
      <c r="K92" s="45"/>
      <c r="L92" s="6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45"/>
      <c r="F93" s="6"/>
      <c r="G93" s="7"/>
      <c r="H93" s="53"/>
      <c r="I93" s="27"/>
      <c r="J93" s="28"/>
      <c r="K93" s="45"/>
      <c r="L93" s="6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45"/>
      <c r="F94" s="6"/>
      <c r="G94" s="7"/>
      <c r="H94" s="53"/>
      <c r="I94" s="27"/>
      <c r="J94" s="28"/>
      <c r="K94" s="45"/>
      <c r="L94" s="6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45"/>
      <c r="F95" s="6"/>
      <c r="G95" s="7"/>
      <c r="H95" s="53"/>
      <c r="I95" s="27"/>
      <c r="J95" s="28"/>
      <c r="K95" s="45"/>
      <c r="L95" s="6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45"/>
      <c r="F96" s="6"/>
      <c r="G96" s="7"/>
      <c r="H96" s="53"/>
      <c r="I96" s="27"/>
      <c r="J96" s="28"/>
      <c r="K96" s="45"/>
      <c r="L96" s="6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45"/>
      <c r="F97" s="6"/>
      <c r="G97" s="7"/>
      <c r="H97" s="53"/>
      <c r="I97" s="27"/>
      <c r="J97" s="28"/>
      <c r="K97" s="45"/>
      <c r="L97" s="6"/>
      <c r="M97" s="7"/>
      <c r="O97" s="7"/>
      <c r="Q97" s="7"/>
      <c r="S97" s="7"/>
      <c r="U97" s="7"/>
      <c r="W97" s="7"/>
    </row>
    <row r="98">
      <c r="A98" s="2"/>
      <c r="B98" s="35" t="s">
        <v>17</v>
      </c>
      <c r="C98" s="27"/>
      <c r="D98" s="28"/>
      <c r="E98" s="45"/>
      <c r="F98" s="6">
        <f>SUM(F91:F97)</f>
        <v>0</v>
      </c>
      <c r="G98" s="7"/>
      <c r="H98" s="35" t="s">
        <v>17</v>
      </c>
      <c r="I98" s="27"/>
      <c r="J98" s="28"/>
      <c r="K98" s="45"/>
      <c r="L98" s="6">
        <f>SUM(L91:L97)</f>
        <v>0</v>
      </c>
      <c r="M98" s="7"/>
      <c r="O98" s="7"/>
      <c r="Q98" s="7"/>
      <c r="S98" s="7"/>
      <c r="U98" s="7"/>
      <c r="W98" s="7"/>
    </row>
    <row r="99">
      <c r="F99" s="7"/>
      <c r="G99" s="7"/>
      <c r="I99" s="7"/>
      <c r="K99" s="7"/>
      <c r="L99" s="7"/>
      <c r="M99" s="7"/>
      <c r="O99" s="7"/>
      <c r="Q99" s="7"/>
      <c r="S99" s="7"/>
      <c r="U99" s="7"/>
      <c r="W99" s="7"/>
    </row>
    <row r="100">
      <c r="B100" s="26" t="s">
        <v>28</v>
      </c>
      <c r="C100" s="27"/>
      <c r="D100" s="27"/>
      <c r="E100" s="27"/>
      <c r="F100" s="28"/>
      <c r="G100" s="7"/>
      <c r="I100" s="7"/>
      <c r="K100" s="7"/>
      <c r="L100" s="7"/>
      <c r="M100" s="7"/>
      <c r="O100" s="7"/>
      <c r="Q100" s="7"/>
      <c r="S100" s="7"/>
      <c r="U100" s="7"/>
      <c r="W100" s="7"/>
    </row>
    <row r="101">
      <c r="B101" s="26" t="s">
        <v>33</v>
      </c>
      <c r="C101" s="27"/>
      <c r="D101" s="28"/>
      <c r="E101" s="30" t="s">
        <v>34</v>
      </c>
      <c r="F101" s="31" t="s">
        <v>35</v>
      </c>
      <c r="G101" s="7"/>
      <c r="I101" s="7"/>
      <c r="K101" s="7"/>
      <c r="L101" s="7"/>
      <c r="M101" s="7"/>
      <c r="O101" s="7"/>
      <c r="Q101" s="7"/>
      <c r="S101" s="7"/>
      <c r="U101" s="7"/>
      <c r="W101" s="7"/>
    </row>
    <row r="102">
      <c r="B102" s="35" t="s">
        <v>84</v>
      </c>
      <c r="C102" s="27"/>
      <c r="D102" s="28"/>
      <c r="E102" s="36">
        <v>43102.0</v>
      </c>
      <c r="F102" s="3">
        <v>84.58</v>
      </c>
      <c r="G102" s="7"/>
      <c r="I102" s="7"/>
      <c r="K102" s="7"/>
      <c r="L102" s="7"/>
      <c r="M102" s="7"/>
      <c r="O102" s="7"/>
      <c r="Q102" s="7"/>
      <c r="S102" s="7"/>
      <c r="U102" s="7"/>
      <c r="W102" s="7"/>
    </row>
    <row r="103">
      <c r="B103" s="35" t="s">
        <v>85</v>
      </c>
      <c r="C103" s="27"/>
      <c r="D103" s="28"/>
      <c r="E103" s="36">
        <v>43470.0</v>
      </c>
      <c r="F103" s="3">
        <v>1.5</v>
      </c>
      <c r="G103" s="7"/>
      <c r="I103" s="7"/>
      <c r="K103" s="7"/>
      <c r="L103" s="7"/>
      <c r="M103" s="7"/>
      <c r="O103" s="7"/>
      <c r="Q103" s="7"/>
      <c r="S103" s="7"/>
      <c r="U103" s="7"/>
      <c r="W103" s="7"/>
    </row>
    <row r="104">
      <c r="B104" s="35" t="s">
        <v>86</v>
      </c>
      <c r="C104" s="27"/>
      <c r="D104" s="28"/>
      <c r="E104" s="36">
        <v>43470.0</v>
      </c>
      <c r="F104" s="3">
        <v>35.02</v>
      </c>
      <c r="G104" s="7"/>
      <c r="I104" s="7"/>
      <c r="K104" s="7"/>
      <c r="L104" s="7"/>
      <c r="M104" s="7"/>
      <c r="O104" s="7"/>
      <c r="Q104" s="7"/>
      <c r="S104" s="7"/>
      <c r="U104" s="7"/>
      <c r="W104" s="7"/>
    </row>
    <row r="105">
      <c r="B105" s="35" t="s">
        <v>85</v>
      </c>
      <c r="C105" s="27"/>
      <c r="D105" s="28"/>
      <c r="E105" s="36">
        <v>43478.0</v>
      </c>
      <c r="F105" s="3">
        <v>1.5</v>
      </c>
      <c r="G105" s="7"/>
      <c r="I105" s="7"/>
      <c r="K105" s="7"/>
      <c r="L105" s="7"/>
      <c r="M105" s="7"/>
      <c r="O105" s="7"/>
      <c r="Q105" s="7"/>
      <c r="S105" s="7"/>
      <c r="U105" s="7"/>
      <c r="W105" s="7"/>
    </row>
    <row r="106">
      <c r="B106" s="35" t="s">
        <v>87</v>
      </c>
      <c r="C106" s="27"/>
      <c r="D106" s="28"/>
      <c r="E106" s="36">
        <v>43472.0</v>
      </c>
      <c r="F106" s="3">
        <v>2.3</v>
      </c>
      <c r="G106" s="7"/>
      <c r="I106" s="7"/>
      <c r="K106" s="7"/>
      <c r="L106" s="7"/>
      <c r="M106" s="7"/>
      <c r="O106" s="7"/>
      <c r="Q106" s="7"/>
      <c r="S106" s="7"/>
      <c r="U106" s="7"/>
      <c r="W106" s="7"/>
    </row>
    <row r="107">
      <c r="B107" s="35" t="s">
        <v>86</v>
      </c>
      <c r="C107" s="27"/>
      <c r="D107" s="28"/>
      <c r="E107" s="36">
        <v>43483.0</v>
      </c>
      <c r="F107" s="3">
        <v>20.0</v>
      </c>
      <c r="G107" s="7"/>
      <c r="I107" s="7"/>
      <c r="K107" s="7"/>
      <c r="L107" s="7"/>
      <c r="M107" s="7"/>
      <c r="O107" s="7"/>
      <c r="Q107" s="7"/>
      <c r="S107" s="7"/>
      <c r="U107" s="7"/>
      <c r="W107" s="7"/>
    </row>
    <row r="108">
      <c r="B108" s="35" t="s">
        <v>86</v>
      </c>
      <c r="C108" s="27"/>
      <c r="D108" s="28"/>
      <c r="E108" s="36">
        <v>43494.0</v>
      </c>
      <c r="F108" s="3">
        <v>10.0</v>
      </c>
      <c r="G108" s="7"/>
      <c r="I108" s="7"/>
      <c r="K108" s="7"/>
      <c r="L108" s="7"/>
      <c r="M108" s="7"/>
      <c r="O108" s="7"/>
      <c r="Q108" s="7"/>
      <c r="S108" s="7"/>
      <c r="U108" s="7"/>
      <c r="W108" s="7"/>
    </row>
    <row r="109">
      <c r="B109" s="35" t="s">
        <v>17</v>
      </c>
      <c r="C109" s="27"/>
      <c r="D109" s="28"/>
      <c r="E109" s="45"/>
      <c r="F109" s="6">
        <f>SUM(F102:F108)</f>
        <v>154.9</v>
      </c>
      <c r="G109" s="7"/>
      <c r="I109" s="7"/>
      <c r="K109" s="7"/>
      <c r="L109" s="7"/>
      <c r="M109" s="7"/>
      <c r="O109" s="7"/>
      <c r="Q109" s="7"/>
      <c r="S109" s="7"/>
      <c r="U109" s="7"/>
      <c r="W109" s="7"/>
    </row>
    <row r="110">
      <c r="F110" s="7"/>
      <c r="G110" s="7"/>
      <c r="I110" s="7"/>
      <c r="K110" s="7"/>
      <c r="L110" s="7"/>
      <c r="M110" s="7"/>
      <c r="O110" s="7"/>
      <c r="Q110" s="7"/>
      <c r="S110" s="7"/>
      <c r="U110" s="7"/>
      <c r="W110" s="7"/>
    </row>
    <row r="111">
      <c r="F111" s="7"/>
      <c r="G111" s="7"/>
      <c r="I111" s="7"/>
      <c r="K111" s="7"/>
      <c r="L111" s="7"/>
      <c r="M111" s="7"/>
      <c r="O111" s="7"/>
      <c r="Q111" s="7"/>
      <c r="S111" s="7"/>
      <c r="U111" s="7"/>
      <c r="W111" s="7"/>
    </row>
    <row r="112">
      <c r="F112" s="7"/>
      <c r="G112" s="7"/>
      <c r="I112" s="7"/>
      <c r="K112" s="7"/>
      <c r="L112" s="7"/>
      <c r="M112" s="7"/>
      <c r="O112" s="7"/>
      <c r="Q112" s="7"/>
      <c r="S112" s="7"/>
      <c r="U112" s="7"/>
      <c r="W112" s="7"/>
    </row>
    <row r="113">
      <c r="F113" s="7"/>
      <c r="G113" s="7"/>
      <c r="I113" s="7"/>
      <c r="K113" s="7"/>
      <c r="L113" s="7"/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F115" s="7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F116" s="7"/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F117" s="7"/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F118" s="7"/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</sheetData>
  <mergeCells count="194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5:D65"/>
    <mergeCell ref="B67:F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8:F78"/>
    <mergeCell ref="B79:D79"/>
    <mergeCell ref="H73:J73"/>
    <mergeCell ref="H74:J74"/>
    <mergeCell ref="H75:J75"/>
    <mergeCell ref="H76:J76"/>
    <mergeCell ref="H78:L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2:L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7:L67"/>
    <mergeCell ref="H68:J68"/>
    <mergeCell ref="H69:J69"/>
    <mergeCell ref="H70:J70"/>
    <mergeCell ref="H71:J71"/>
    <mergeCell ref="H72:J72"/>
    <mergeCell ref="H96:J96"/>
    <mergeCell ref="H97:J97"/>
    <mergeCell ref="H98:J98"/>
    <mergeCell ref="H89:L89"/>
    <mergeCell ref="H90:J90"/>
    <mergeCell ref="H91:J91"/>
    <mergeCell ref="H92:J92"/>
    <mergeCell ref="H93:J93"/>
    <mergeCell ref="H94:J94"/>
    <mergeCell ref="H95:J95"/>
    <mergeCell ref="B87:D87"/>
    <mergeCell ref="B89:F89"/>
    <mergeCell ref="B90:D90"/>
    <mergeCell ref="B91:D91"/>
    <mergeCell ref="B92:D92"/>
    <mergeCell ref="B93:D93"/>
    <mergeCell ref="B94:D94"/>
    <mergeCell ref="B103:D103"/>
    <mergeCell ref="B104:D104"/>
    <mergeCell ref="B105:D105"/>
    <mergeCell ref="B106:D106"/>
    <mergeCell ref="B107:D107"/>
    <mergeCell ref="B108:D108"/>
    <mergeCell ref="B109:D109"/>
    <mergeCell ref="B95:D95"/>
    <mergeCell ref="B96:D96"/>
    <mergeCell ref="B97:D97"/>
    <mergeCell ref="B98:D98"/>
    <mergeCell ref="B100:F100"/>
    <mergeCell ref="B101:D101"/>
    <mergeCell ref="B102:D102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2:F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88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39"/>
      <c r="C6" s="27"/>
      <c r="D6" s="28"/>
      <c r="E6" s="38"/>
      <c r="F6" s="31"/>
      <c r="G6" s="32"/>
      <c r="H6" s="35" t="s">
        <v>39</v>
      </c>
      <c r="I6" s="27"/>
      <c r="J6" s="28"/>
      <c r="K6" s="36">
        <v>43497.0</v>
      </c>
      <c r="L6" s="3">
        <v>1.0</v>
      </c>
      <c r="M6" s="7"/>
      <c r="N6" s="2"/>
      <c r="O6" s="5"/>
      <c r="S6" s="7"/>
      <c r="U6" s="7"/>
    </row>
    <row r="7">
      <c r="A7" s="33"/>
      <c r="B7" s="35"/>
      <c r="C7" s="27"/>
      <c r="D7" s="28"/>
      <c r="E7" s="36"/>
      <c r="F7" s="31"/>
      <c r="G7" s="37"/>
      <c r="H7" s="35" t="s">
        <v>89</v>
      </c>
      <c r="I7" s="27"/>
      <c r="J7" s="28"/>
      <c r="K7" s="36">
        <v>43498.0</v>
      </c>
      <c r="L7" s="3">
        <v>5.25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39</v>
      </c>
      <c r="I8" s="27"/>
      <c r="J8" s="28"/>
      <c r="K8" s="36">
        <v>43499.0</v>
      </c>
      <c r="L8" s="3">
        <v>0.5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39</v>
      </c>
      <c r="I9" s="27"/>
      <c r="J9" s="28"/>
      <c r="K9" s="36">
        <v>43500.0</v>
      </c>
      <c r="L9" s="3">
        <v>2.0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90</v>
      </c>
      <c r="I10" s="27"/>
      <c r="J10" s="28"/>
      <c r="K10" s="36">
        <v>43499.0</v>
      </c>
      <c r="L10" s="3">
        <v>6.0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91</v>
      </c>
      <c r="I11" s="27"/>
      <c r="J11" s="28"/>
      <c r="K11" s="36">
        <v>43501.0</v>
      </c>
      <c r="L11" s="3">
        <v>1.5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36">
        <v>43502.0</v>
      </c>
      <c r="L12" s="3">
        <v>1.5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39</v>
      </c>
      <c r="I13" s="27"/>
      <c r="J13" s="28"/>
      <c r="K13" s="36">
        <v>43503.0</v>
      </c>
      <c r="L13" s="3">
        <v>1.5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39</v>
      </c>
      <c r="I14" s="27"/>
      <c r="J14" s="28"/>
      <c r="K14" s="36">
        <v>43504.0</v>
      </c>
      <c r="L14" s="3">
        <v>1.5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90</v>
      </c>
      <c r="I15" s="27"/>
      <c r="J15" s="28"/>
      <c r="K15" s="36">
        <v>43505.0</v>
      </c>
      <c r="L15" s="3">
        <v>5.5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43506.0</v>
      </c>
      <c r="L16" s="3">
        <v>2.0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92</v>
      </c>
      <c r="I17" s="27"/>
      <c r="J17" s="28"/>
      <c r="K17" s="36">
        <v>43511.0</v>
      </c>
      <c r="L17" s="3">
        <v>1.0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36">
        <v>43514.0</v>
      </c>
      <c r="L18" s="3">
        <v>2.0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39</v>
      </c>
      <c r="I19" s="27"/>
      <c r="J19" s="28"/>
      <c r="K19" s="36">
        <v>43515.0</v>
      </c>
      <c r="L19" s="3">
        <v>1.5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39</v>
      </c>
      <c r="I20" s="27"/>
      <c r="J20" s="28"/>
      <c r="K20" s="36">
        <v>43516.0</v>
      </c>
      <c r="L20" s="3">
        <v>1.5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39</v>
      </c>
      <c r="I21" s="27"/>
      <c r="J21" s="28"/>
      <c r="K21" s="36">
        <v>43518.0</v>
      </c>
      <c r="L21" s="3">
        <v>2.0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56</v>
      </c>
      <c r="I22" s="27"/>
      <c r="J22" s="28"/>
      <c r="K22" s="36">
        <v>43518.0</v>
      </c>
      <c r="L22" s="3">
        <v>26.07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93</v>
      </c>
      <c r="I23" s="27"/>
      <c r="J23" s="28"/>
      <c r="K23" s="36">
        <v>43521.0</v>
      </c>
      <c r="L23" s="3">
        <v>2.0</v>
      </c>
      <c r="M23" s="7"/>
      <c r="N23" s="41"/>
      <c r="O23" s="42"/>
      <c r="Q23" s="7"/>
      <c r="S23" s="7"/>
      <c r="U23" s="7"/>
      <c r="W23" s="7"/>
    </row>
    <row r="24">
      <c r="A24" s="33"/>
      <c r="B24" s="38"/>
      <c r="C24" s="38"/>
      <c r="D24" s="38"/>
      <c r="E24" s="38"/>
      <c r="F24" s="40"/>
      <c r="G24" s="37"/>
      <c r="H24" s="43" t="s">
        <v>94</v>
      </c>
      <c r="I24" s="27"/>
      <c r="J24" s="28"/>
      <c r="K24" s="36">
        <v>43522.0</v>
      </c>
      <c r="L24" s="3">
        <f>1.5+4.5+2.5</f>
        <v>8.5</v>
      </c>
      <c r="M24" s="7"/>
      <c r="N24" s="41"/>
      <c r="O24" s="42"/>
      <c r="Q24" s="7"/>
      <c r="S24" s="7"/>
      <c r="U24" s="7"/>
      <c r="W24" s="7"/>
    </row>
    <row r="25">
      <c r="A25" s="33"/>
      <c r="B25" s="38"/>
      <c r="C25" s="38"/>
      <c r="D25" s="38"/>
      <c r="E25" s="38"/>
      <c r="F25" s="40"/>
      <c r="G25" s="37"/>
      <c r="H25" s="43" t="s">
        <v>95</v>
      </c>
      <c r="I25" s="27"/>
      <c r="J25" s="28"/>
      <c r="K25" s="36">
        <v>43523.0</v>
      </c>
      <c r="L25" s="3">
        <v>5.0</v>
      </c>
      <c r="M25" s="7"/>
      <c r="N25" s="41"/>
      <c r="O25" s="42"/>
      <c r="Q25" s="7"/>
      <c r="S25" s="7"/>
      <c r="U25" s="7"/>
      <c r="W25" s="7"/>
    </row>
    <row r="26">
      <c r="A26" s="33"/>
      <c r="B26" s="38"/>
      <c r="C26" s="38"/>
      <c r="D26" s="38"/>
      <c r="E26" s="38"/>
      <c r="F26" s="40"/>
      <c r="G26" s="37"/>
      <c r="H26" s="43" t="s">
        <v>96</v>
      </c>
      <c r="I26" s="27"/>
      <c r="J26" s="28"/>
      <c r="K26" s="36">
        <v>43524.0</v>
      </c>
      <c r="L26" s="3">
        <v>3.5</v>
      </c>
      <c r="M26" s="7"/>
      <c r="N26" s="41"/>
      <c r="O26" s="42"/>
      <c r="Q26" s="7"/>
      <c r="S26" s="7"/>
      <c r="U26" s="7"/>
      <c r="W26" s="7"/>
    </row>
    <row r="27">
      <c r="A27" s="2"/>
      <c r="B27" s="35" t="s">
        <v>17</v>
      </c>
      <c r="C27" s="27"/>
      <c r="D27" s="28"/>
      <c r="E27" s="45"/>
      <c r="F27" s="6">
        <f>SUM(F6:F12)</f>
        <v>0</v>
      </c>
      <c r="G27" s="7"/>
      <c r="H27" s="35" t="s">
        <v>17</v>
      </c>
      <c r="I27" s="27"/>
      <c r="J27" s="28"/>
      <c r="K27" s="6"/>
      <c r="L27" s="6">
        <f>SUM(L6:L26)</f>
        <v>81.32</v>
      </c>
      <c r="M27" s="7"/>
      <c r="N27" s="41"/>
      <c r="O27" s="20"/>
      <c r="Q27" s="7"/>
      <c r="S27" s="7"/>
      <c r="U27" s="7"/>
      <c r="W27" s="7"/>
    </row>
    <row r="28" ht="9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7"/>
      <c r="N28" s="46"/>
      <c r="O28" s="47"/>
      <c r="Q28" s="7"/>
      <c r="S28" s="7"/>
      <c r="U28" s="7"/>
      <c r="W28" s="7"/>
    </row>
    <row r="29">
      <c r="A29" s="25"/>
      <c r="B29" s="26" t="s">
        <v>26</v>
      </c>
      <c r="C29" s="27"/>
      <c r="D29" s="27"/>
      <c r="E29" s="27"/>
      <c r="F29" s="28"/>
      <c r="G29" s="25"/>
      <c r="H29" s="26" t="s">
        <v>25</v>
      </c>
      <c r="I29" s="27"/>
      <c r="J29" s="27"/>
      <c r="K29" s="27"/>
      <c r="L29" s="28"/>
      <c r="M29" s="7"/>
      <c r="N29" s="46"/>
      <c r="O29" s="47"/>
      <c r="Q29" s="7"/>
      <c r="S29" s="7"/>
      <c r="U29" s="7"/>
      <c r="W29" s="7"/>
    </row>
    <row r="30">
      <c r="A30" s="25"/>
      <c r="B30" s="26" t="s">
        <v>33</v>
      </c>
      <c r="C30" s="27"/>
      <c r="D30" s="28"/>
      <c r="E30" s="30" t="s">
        <v>34</v>
      </c>
      <c r="F30" s="31" t="s">
        <v>35</v>
      </c>
      <c r="G30" s="32"/>
      <c r="H30" s="26" t="s">
        <v>33</v>
      </c>
      <c r="I30" s="27"/>
      <c r="J30" s="28"/>
      <c r="K30" s="30" t="s">
        <v>34</v>
      </c>
      <c r="L30" s="31" t="s">
        <v>35</v>
      </c>
      <c r="M30" s="7"/>
      <c r="O30" s="7"/>
      <c r="Q30" s="7"/>
      <c r="S30" s="7"/>
      <c r="U30" s="7"/>
      <c r="W30" s="7"/>
    </row>
    <row r="31">
      <c r="A31" s="2"/>
      <c r="B31" s="35" t="s">
        <v>97</v>
      </c>
      <c r="C31" s="27"/>
      <c r="D31" s="28"/>
      <c r="E31" s="36">
        <v>43498.0</v>
      </c>
      <c r="F31" s="3">
        <v>10.99</v>
      </c>
      <c r="G31" s="5"/>
      <c r="H31" s="35" t="s">
        <v>98</v>
      </c>
      <c r="I31" s="27"/>
      <c r="J31" s="28"/>
      <c r="K31" s="48">
        <v>43503.0</v>
      </c>
      <c r="L31" s="49">
        <v>7.18</v>
      </c>
      <c r="M31" s="7"/>
      <c r="O31" s="7"/>
      <c r="Q31" s="7"/>
      <c r="S31" s="7"/>
      <c r="U31" s="7"/>
      <c r="W31" s="7"/>
    </row>
    <row r="32">
      <c r="A32" s="50"/>
      <c r="B32" s="35" t="s">
        <v>99</v>
      </c>
      <c r="C32" s="27"/>
      <c r="D32" s="28"/>
      <c r="E32" s="36">
        <v>43499.0</v>
      </c>
      <c r="F32" s="3">
        <v>20.0</v>
      </c>
      <c r="G32" s="7"/>
      <c r="H32" s="35" t="s">
        <v>100</v>
      </c>
      <c r="I32" s="27"/>
      <c r="J32" s="28"/>
      <c r="K32" s="36">
        <v>43505.0</v>
      </c>
      <c r="L32" s="49">
        <v>4.0</v>
      </c>
      <c r="M32" s="7"/>
      <c r="O32" s="7"/>
      <c r="Q32" s="7"/>
      <c r="S32" s="7"/>
      <c r="U32" s="7"/>
      <c r="W32" s="7"/>
    </row>
    <row r="33">
      <c r="A33" s="50"/>
      <c r="B33" s="35" t="s">
        <v>101</v>
      </c>
      <c r="C33" s="27"/>
      <c r="D33" s="28"/>
      <c r="E33" s="36">
        <v>43502.0</v>
      </c>
      <c r="F33" s="3">
        <f>100+8.95</f>
        <v>108.95</v>
      </c>
      <c r="G33" s="7"/>
      <c r="H33" s="35" t="s">
        <v>56</v>
      </c>
      <c r="I33" s="27"/>
      <c r="J33" s="28"/>
      <c r="K33" s="36">
        <v>43506.0</v>
      </c>
      <c r="L33" s="49">
        <v>15.0</v>
      </c>
      <c r="M33" s="7"/>
      <c r="O33" s="7"/>
      <c r="Q33" s="7"/>
      <c r="S33" s="7"/>
      <c r="U33" s="7"/>
      <c r="W33" s="7"/>
    </row>
    <row r="34">
      <c r="A34" s="50"/>
      <c r="B34" s="35" t="s">
        <v>102</v>
      </c>
      <c r="C34" s="27"/>
      <c r="D34" s="28"/>
      <c r="E34" s="36">
        <v>43503.0</v>
      </c>
      <c r="F34" s="3">
        <f>85+70</f>
        <v>155</v>
      </c>
      <c r="G34" s="7"/>
      <c r="H34" s="35" t="s">
        <v>103</v>
      </c>
      <c r="I34" s="27"/>
      <c r="J34" s="28"/>
      <c r="K34" s="36">
        <v>43506.0</v>
      </c>
      <c r="L34" s="49">
        <v>12.98</v>
      </c>
      <c r="M34" s="7"/>
      <c r="O34" s="7"/>
      <c r="Q34" s="7"/>
      <c r="S34" s="7"/>
      <c r="U34" s="7"/>
      <c r="W34" s="7"/>
    </row>
    <row r="35">
      <c r="A35" s="50"/>
      <c r="B35" s="35" t="s">
        <v>104</v>
      </c>
      <c r="C35" s="27"/>
      <c r="D35" s="28"/>
      <c r="E35" s="36">
        <v>43506.0</v>
      </c>
      <c r="F35" s="3">
        <v>300.0</v>
      </c>
      <c r="G35" s="7"/>
      <c r="H35" s="35" t="s">
        <v>58</v>
      </c>
      <c r="I35" s="27"/>
      <c r="J35" s="28"/>
      <c r="K35" s="36">
        <v>43508.0</v>
      </c>
      <c r="L35" s="49">
        <v>3.19</v>
      </c>
      <c r="M35" s="7"/>
      <c r="O35" s="7"/>
      <c r="Q35" s="7"/>
      <c r="S35" s="7"/>
      <c r="U35" s="7"/>
      <c r="W35" s="7"/>
    </row>
    <row r="36">
      <c r="A36" s="50"/>
      <c r="B36" s="35" t="s">
        <v>105</v>
      </c>
      <c r="C36" s="27"/>
      <c r="D36" s="28"/>
      <c r="E36" s="36">
        <v>43508.0</v>
      </c>
      <c r="F36" s="3">
        <v>80.0</v>
      </c>
      <c r="G36" s="7"/>
      <c r="H36" s="35" t="s">
        <v>106</v>
      </c>
      <c r="I36" s="27"/>
      <c r="J36" s="28"/>
      <c r="K36" s="48">
        <v>43509.0</v>
      </c>
      <c r="L36" s="49">
        <v>13.0</v>
      </c>
      <c r="M36" s="7"/>
      <c r="O36" s="7"/>
      <c r="P36" s="2"/>
      <c r="Q36" s="7"/>
      <c r="S36" s="7"/>
      <c r="U36" s="7"/>
      <c r="W36" s="7"/>
    </row>
    <row r="37">
      <c r="A37" s="50"/>
      <c r="B37" s="35" t="s">
        <v>107</v>
      </c>
      <c r="C37" s="27"/>
      <c r="D37" s="28"/>
      <c r="E37" s="36">
        <v>43508.0</v>
      </c>
      <c r="F37" s="3">
        <v>3.0</v>
      </c>
      <c r="G37" s="7"/>
      <c r="H37" s="35" t="s">
        <v>108</v>
      </c>
      <c r="I37" s="27"/>
      <c r="J37" s="28"/>
      <c r="K37" s="36">
        <v>43511.0</v>
      </c>
      <c r="L37" s="49">
        <v>11.5</v>
      </c>
      <c r="M37" s="7"/>
      <c r="O37" s="7"/>
      <c r="Q37" s="7"/>
      <c r="S37" s="7"/>
      <c r="U37" s="7"/>
      <c r="W37" s="7"/>
    </row>
    <row r="38">
      <c r="A38" s="50"/>
      <c r="B38" s="35" t="s">
        <v>67</v>
      </c>
      <c r="C38" s="27"/>
      <c r="D38" s="28"/>
      <c r="E38" s="36">
        <v>43508.0</v>
      </c>
      <c r="F38" s="3">
        <v>5.0</v>
      </c>
      <c r="G38" s="7"/>
      <c r="H38" s="35" t="s">
        <v>109</v>
      </c>
      <c r="I38" s="27"/>
      <c r="J38" s="28"/>
      <c r="K38" s="36">
        <v>43512.0</v>
      </c>
      <c r="L38" s="49">
        <v>5.75</v>
      </c>
      <c r="M38" s="7"/>
      <c r="O38" s="7"/>
      <c r="Q38" s="7"/>
      <c r="S38" s="7"/>
      <c r="U38" s="7"/>
      <c r="W38" s="7"/>
    </row>
    <row r="39">
      <c r="A39" s="50"/>
      <c r="B39" s="35" t="s">
        <v>110</v>
      </c>
      <c r="C39" s="27"/>
      <c r="D39" s="28"/>
      <c r="E39" s="36">
        <v>43511.0</v>
      </c>
      <c r="F39" s="3">
        <v>120.0</v>
      </c>
      <c r="G39" s="7"/>
      <c r="H39" s="35" t="s">
        <v>111</v>
      </c>
      <c r="I39" s="27"/>
      <c r="J39" s="28"/>
      <c r="K39" s="36">
        <v>43512.0</v>
      </c>
      <c r="L39" s="49">
        <v>7.5</v>
      </c>
      <c r="M39" s="7"/>
      <c r="O39" s="7"/>
      <c r="Q39" s="7"/>
      <c r="S39" s="7"/>
      <c r="U39" s="7"/>
      <c r="W39" s="7"/>
    </row>
    <row r="40">
      <c r="A40" s="50"/>
      <c r="B40" s="35" t="s">
        <v>112</v>
      </c>
      <c r="C40" s="27"/>
      <c r="D40" s="28"/>
      <c r="E40" s="36">
        <v>43511.0</v>
      </c>
      <c r="F40" s="3">
        <v>25.0</v>
      </c>
      <c r="G40" s="7"/>
      <c r="H40" s="35" t="s">
        <v>113</v>
      </c>
      <c r="I40" s="27"/>
      <c r="J40" s="28"/>
      <c r="K40" s="36">
        <v>43515.0</v>
      </c>
      <c r="L40" s="49">
        <v>6.0</v>
      </c>
      <c r="M40" s="7"/>
      <c r="O40" s="7"/>
      <c r="Q40" s="7"/>
      <c r="S40" s="7"/>
      <c r="U40" s="7"/>
      <c r="W40" s="7"/>
    </row>
    <row r="41">
      <c r="A41" s="50"/>
      <c r="B41" s="35" t="s">
        <v>114</v>
      </c>
      <c r="C41" s="27"/>
      <c r="D41" s="28"/>
      <c r="E41" s="36">
        <v>43510.0</v>
      </c>
      <c r="F41" s="3">
        <v>13.0</v>
      </c>
      <c r="G41" s="7"/>
      <c r="H41" s="35" t="s">
        <v>115</v>
      </c>
      <c r="I41" s="27"/>
      <c r="J41" s="28"/>
      <c r="K41" s="36">
        <v>43516.0</v>
      </c>
      <c r="L41" s="49">
        <v>20.4</v>
      </c>
      <c r="M41" s="7"/>
      <c r="O41" s="7"/>
      <c r="Q41" s="7"/>
      <c r="S41" s="7"/>
      <c r="U41" s="7"/>
      <c r="W41" s="7"/>
    </row>
    <row r="42">
      <c r="A42" s="50"/>
      <c r="B42" s="35" t="s">
        <v>61</v>
      </c>
      <c r="C42" s="27"/>
      <c r="D42" s="28"/>
      <c r="E42" s="36">
        <v>43513.0</v>
      </c>
      <c r="F42" s="3">
        <v>80.0</v>
      </c>
      <c r="G42" s="7"/>
      <c r="H42" s="35" t="s">
        <v>116</v>
      </c>
      <c r="I42" s="27"/>
      <c r="J42" s="28"/>
      <c r="K42" s="36">
        <v>43520.0</v>
      </c>
      <c r="L42" s="49">
        <v>10.0</v>
      </c>
      <c r="M42" s="7"/>
      <c r="O42" s="7"/>
      <c r="Q42" s="7"/>
      <c r="S42" s="7"/>
      <c r="U42" s="7"/>
      <c r="W42" s="7"/>
    </row>
    <row r="43">
      <c r="A43" s="50"/>
      <c r="B43" s="35" t="s">
        <v>117</v>
      </c>
      <c r="C43" s="27"/>
      <c r="D43" s="28"/>
      <c r="E43" s="36">
        <v>43514.0</v>
      </c>
      <c r="F43" s="3">
        <v>25.0</v>
      </c>
      <c r="G43" s="7"/>
      <c r="H43" s="35" t="s">
        <v>58</v>
      </c>
      <c r="I43" s="27"/>
      <c r="J43" s="28"/>
      <c r="K43" s="36">
        <v>43521.0</v>
      </c>
      <c r="L43" s="49">
        <v>4.0</v>
      </c>
      <c r="M43" s="7"/>
      <c r="O43" s="7"/>
      <c r="Q43" s="7"/>
      <c r="S43" s="7"/>
      <c r="U43" s="7"/>
      <c r="W43" s="7"/>
    </row>
    <row r="44" ht="18.75" customHeight="1">
      <c r="A44" s="50"/>
      <c r="B44" s="35" t="s">
        <v>118</v>
      </c>
      <c r="C44" s="27"/>
      <c r="D44" s="28"/>
      <c r="E44" s="36">
        <v>43517.0</v>
      </c>
      <c r="F44" s="3">
        <f>79.9+19.9</f>
        <v>99.8</v>
      </c>
      <c r="G44" s="7"/>
      <c r="H44" s="35" t="s">
        <v>58</v>
      </c>
      <c r="I44" s="27"/>
      <c r="J44" s="28"/>
      <c r="K44" s="36">
        <v>43518.0</v>
      </c>
      <c r="L44" s="49">
        <v>3.5</v>
      </c>
      <c r="M44" s="7"/>
      <c r="O44" s="7"/>
      <c r="Q44" s="7"/>
      <c r="S44" s="7"/>
      <c r="U44" s="7"/>
      <c r="W44" s="7"/>
    </row>
    <row r="45">
      <c r="A45" s="50"/>
      <c r="B45" s="35" t="s">
        <v>119</v>
      </c>
      <c r="C45" s="27"/>
      <c r="D45" s="28"/>
      <c r="E45" s="36">
        <v>43519.0</v>
      </c>
      <c r="F45" s="3">
        <v>10.0</v>
      </c>
      <c r="G45" s="7"/>
      <c r="H45" s="35"/>
      <c r="I45" s="27"/>
      <c r="J45" s="28"/>
      <c r="K45" s="36"/>
      <c r="L45" s="51"/>
      <c r="M45" s="7"/>
      <c r="O45" s="7"/>
      <c r="Q45" s="7"/>
      <c r="S45" s="7"/>
      <c r="U45" s="7"/>
      <c r="W45" s="7"/>
    </row>
    <row r="46">
      <c r="A46" s="50"/>
      <c r="B46" s="35" t="s">
        <v>81</v>
      </c>
      <c r="C46" s="27"/>
      <c r="D46" s="28"/>
      <c r="E46" s="36">
        <v>43518.0</v>
      </c>
      <c r="F46" s="3">
        <v>5.5</v>
      </c>
      <c r="G46" s="7"/>
      <c r="H46" s="35"/>
      <c r="I46" s="27"/>
      <c r="J46" s="28"/>
      <c r="K46" s="6"/>
      <c r="L46" s="51"/>
      <c r="M46" s="7"/>
      <c r="O46" s="7"/>
      <c r="Q46" s="7"/>
      <c r="S46" s="7"/>
      <c r="U46" s="7"/>
      <c r="W46" s="7"/>
    </row>
    <row r="47">
      <c r="A47" s="50"/>
      <c r="B47" s="35" t="s">
        <v>120</v>
      </c>
      <c r="C47" s="27"/>
      <c r="D47" s="28"/>
      <c r="E47" s="36">
        <v>43519.0</v>
      </c>
      <c r="F47" s="3">
        <f>125+80</f>
        <v>205</v>
      </c>
      <c r="G47" s="7"/>
      <c r="H47" s="35"/>
      <c r="I47" s="27"/>
      <c r="J47" s="28"/>
      <c r="K47" s="6"/>
      <c r="L47" s="51"/>
      <c r="M47" s="7"/>
      <c r="O47" s="7"/>
      <c r="Q47" s="7"/>
      <c r="S47" s="7"/>
      <c r="U47" s="7"/>
      <c r="W47" s="7"/>
    </row>
    <row r="48">
      <c r="A48" s="50"/>
      <c r="B48" s="35" t="s">
        <v>61</v>
      </c>
      <c r="C48" s="27"/>
      <c r="D48" s="28"/>
      <c r="E48" s="36">
        <v>43521.0</v>
      </c>
      <c r="F48" s="3">
        <v>60.0</v>
      </c>
      <c r="G48" s="7"/>
      <c r="H48" s="35"/>
      <c r="I48" s="27"/>
      <c r="J48" s="28"/>
      <c r="K48" s="6"/>
      <c r="L48" s="51"/>
      <c r="M48" s="7"/>
      <c r="O48" s="7"/>
      <c r="Q48" s="7"/>
      <c r="S48" s="7"/>
      <c r="U48" s="7"/>
      <c r="W48" s="7"/>
    </row>
    <row r="49">
      <c r="A49" s="50"/>
      <c r="B49" s="35" t="s">
        <v>121</v>
      </c>
      <c r="C49" s="27"/>
      <c r="D49" s="28"/>
      <c r="E49" s="36">
        <v>43521.0</v>
      </c>
      <c r="F49" s="3">
        <v>8.0</v>
      </c>
      <c r="G49" s="7"/>
      <c r="H49" s="35"/>
      <c r="I49" s="27"/>
      <c r="J49" s="28"/>
      <c r="K49" s="6"/>
      <c r="L49" s="51"/>
      <c r="M49" s="7"/>
      <c r="O49" s="7"/>
      <c r="Q49" s="7"/>
      <c r="S49" s="7"/>
      <c r="U49" s="7"/>
      <c r="W49" s="7"/>
    </row>
    <row r="50">
      <c r="A50" s="50"/>
      <c r="B50" s="35" t="s">
        <v>77</v>
      </c>
      <c r="C50" s="27"/>
      <c r="D50" s="28"/>
      <c r="E50" s="36">
        <v>43521.0</v>
      </c>
      <c r="F50" s="3">
        <f>70-23</f>
        <v>47</v>
      </c>
      <c r="G50" s="7"/>
      <c r="H50" s="35"/>
      <c r="I50" s="27"/>
      <c r="J50" s="28"/>
      <c r="K50" s="6"/>
      <c r="L50" s="51"/>
      <c r="M50" s="7"/>
      <c r="O50" s="7"/>
      <c r="Q50" s="7"/>
      <c r="S50" s="7"/>
      <c r="U50" s="7"/>
      <c r="W50" s="7"/>
    </row>
    <row r="51">
      <c r="A51" s="2"/>
      <c r="B51" s="35" t="s">
        <v>17</v>
      </c>
      <c r="C51" s="27"/>
      <c r="D51" s="28"/>
      <c r="E51" s="45"/>
      <c r="F51" s="6">
        <f>SUM(F31:F50)</f>
        <v>1381.24</v>
      </c>
      <c r="G51" s="7"/>
      <c r="H51" s="52"/>
      <c r="I51" s="27"/>
      <c r="J51" s="28"/>
      <c r="K51" s="6"/>
      <c r="L51" s="6">
        <f>SUM(L31:L50)</f>
        <v>124</v>
      </c>
      <c r="M51" s="7"/>
      <c r="O51" s="7"/>
      <c r="Q51" s="7"/>
      <c r="S51" s="7"/>
      <c r="U51" s="7"/>
      <c r="W51" s="7"/>
    </row>
    <row r="52">
      <c r="A52" s="50"/>
      <c r="B52" s="50"/>
      <c r="C52" s="7"/>
      <c r="F52" s="7"/>
      <c r="G52" s="7"/>
      <c r="I52" s="7"/>
      <c r="K52" s="7"/>
      <c r="L52" s="7"/>
      <c r="M52" s="7"/>
      <c r="O52" s="7"/>
      <c r="Q52" s="7"/>
      <c r="S52" s="7"/>
      <c r="U52" s="7"/>
      <c r="W52" s="7"/>
    </row>
    <row r="53">
      <c r="A53" s="25"/>
      <c r="B53" s="26" t="s">
        <v>24</v>
      </c>
      <c r="C53" s="27"/>
      <c r="D53" s="27"/>
      <c r="E53" s="27"/>
      <c r="F53" s="28"/>
      <c r="G53" s="7"/>
      <c r="H53" s="26" t="s">
        <v>19</v>
      </c>
      <c r="I53" s="27"/>
      <c r="J53" s="27"/>
      <c r="K53" s="27"/>
      <c r="L53" s="28"/>
      <c r="M53" s="7"/>
      <c r="O53" s="7"/>
      <c r="Q53" s="7"/>
      <c r="S53" s="7"/>
      <c r="U53" s="7"/>
      <c r="W53" s="7"/>
    </row>
    <row r="54">
      <c r="A54" s="25"/>
      <c r="B54" s="26" t="s">
        <v>33</v>
      </c>
      <c r="C54" s="27"/>
      <c r="D54" s="28"/>
      <c r="E54" s="30" t="s">
        <v>34</v>
      </c>
      <c r="F54" s="31" t="s">
        <v>35</v>
      </c>
      <c r="G54" s="7"/>
      <c r="H54" s="26" t="s">
        <v>33</v>
      </c>
      <c r="I54" s="27"/>
      <c r="J54" s="28"/>
      <c r="K54" s="30" t="s">
        <v>34</v>
      </c>
      <c r="L54" s="31" t="s">
        <v>35</v>
      </c>
      <c r="M54" s="7"/>
      <c r="O54" s="7"/>
      <c r="Q54" s="7"/>
      <c r="S54" s="7"/>
      <c r="U54" s="7"/>
      <c r="W54" s="7"/>
    </row>
    <row r="55">
      <c r="A55" s="2"/>
      <c r="B55" s="35" t="s">
        <v>82</v>
      </c>
      <c r="C55" s="27"/>
      <c r="D55" s="28"/>
      <c r="E55" s="36">
        <v>43504.0</v>
      </c>
      <c r="F55" s="3">
        <v>20.0</v>
      </c>
      <c r="G55" s="7"/>
      <c r="H55" s="54" t="s">
        <v>122</v>
      </c>
      <c r="I55" s="27"/>
      <c r="J55" s="28"/>
      <c r="K55" s="55">
        <v>43497.0</v>
      </c>
      <c r="L55" s="56">
        <v>12.0</v>
      </c>
      <c r="M55" s="7"/>
      <c r="O55" s="7"/>
      <c r="Q55" s="7"/>
      <c r="S55" s="7"/>
      <c r="U55" s="7"/>
      <c r="W55" s="7"/>
    </row>
    <row r="56">
      <c r="A56" s="50"/>
      <c r="B56" s="35"/>
      <c r="C56" s="27"/>
      <c r="D56" s="28"/>
      <c r="E56" s="36"/>
      <c r="F56" s="3"/>
      <c r="G56" s="7"/>
      <c r="H56" s="35" t="s">
        <v>123</v>
      </c>
      <c r="I56" s="27"/>
      <c r="J56" s="28"/>
      <c r="K56" s="36">
        <v>43510.0</v>
      </c>
      <c r="L56" s="3">
        <v>50.0</v>
      </c>
      <c r="M56" s="7"/>
      <c r="O56" s="7"/>
      <c r="Q56" s="7"/>
      <c r="S56" s="7"/>
      <c r="U56" s="7"/>
      <c r="W56" s="7"/>
    </row>
    <row r="57">
      <c r="A57" s="50"/>
      <c r="B57" s="53"/>
      <c r="C57" s="27"/>
      <c r="D57" s="28"/>
      <c r="E57" s="45"/>
      <c r="F57" s="6"/>
      <c r="G57" s="7"/>
      <c r="H57" s="35"/>
      <c r="I57" s="27"/>
      <c r="J57" s="28"/>
      <c r="K57" s="36"/>
      <c r="L57" s="3"/>
      <c r="M57" s="7"/>
      <c r="O57" s="7"/>
      <c r="Q57" s="7"/>
      <c r="S57" s="7"/>
      <c r="U57" s="7"/>
      <c r="W57" s="7"/>
    </row>
    <row r="58">
      <c r="A58" s="50"/>
      <c r="B58" s="53"/>
      <c r="C58" s="27"/>
      <c r="D58" s="28"/>
      <c r="E58" s="45"/>
      <c r="F58" s="6"/>
      <c r="G58" s="7"/>
      <c r="H58" s="35"/>
      <c r="I58" s="27"/>
      <c r="J58" s="28"/>
      <c r="K58" s="36"/>
      <c r="L58" s="3"/>
      <c r="M58" s="7"/>
      <c r="O58" s="7"/>
      <c r="Q58" s="7"/>
      <c r="S58" s="7"/>
      <c r="U58" s="7"/>
      <c r="W58" s="7"/>
    </row>
    <row r="59">
      <c r="A59" s="50"/>
      <c r="B59" s="53"/>
      <c r="C59" s="27"/>
      <c r="D59" s="28"/>
      <c r="E59" s="45"/>
      <c r="F59" s="6"/>
      <c r="G59" s="7"/>
      <c r="H59" s="53"/>
      <c r="I59" s="27"/>
      <c r="J59" s="28"/>
      <c r="K59" s="45"/>
      <c r="L59" s="6"/>
      <c r="M59" s="7"/>
      <c r="O59" s="7"/>
      <c r="Q59" s="7"/>
      <c r="S59" s="7"/>
      <c r="U59" s="7"/>
      <c r="W59" s="7"/>
    </row>
    <row r="60">
      <c r="A60" s="50"/>
      <c r="B60" s="53"/>
      <c r="C60" s="27"/>
      <c r="D60" s="28"/>
      <c r="E60" s="45"/>
      <c r="F60" s="6"/>
      <c r="G60" s="7"/>
      <c r="H60" s="53"/>
      <c r="I60" s="27"/>
      <c r="J60" s="28"/>
      <c r="K60" s="45"/>
      <c r="L60" s="6"/>
      <c r="M60" s="7"/>
      <c r="O60" s="7"/>
      <c r="Q60" s="7"/>
      <c r="S60" s="7"/>
      <c r="U60" s="7"/>
      <c r="W60" s="7"/>
    </row>
    <row r="61">
      <c r="A61" s="50"/>
      <c r="B61" s="53"/>
      <c r="C61" s="27"/>
      <c r="D61" s="28"/>
      <c r="E61" s="45"/>
      <c r="F61" s="6"/>
      <c r="G61" s="7"/>
      <c r="H61" s="53"/>
      <c r="I61" s="27"/>
      <c r="J61" s="28"/>
      <c r="K61" s="45"/>
      <c r="L61" s="6"/>
      <c r="M61" s="7"/>
      <c r="O61" s="7"/>
      <c r="Q61" s="7"/>
      <c r="S61" s="7"/>
      <c r="U61" s="7"/>
      <c r="W61" s="7"/>
    </row>
    <row r="62">
      <c r="A62" s="2"/>
      <c r="B62" s="35" t="s">
        <v>17</v>
      </c>
      <c r="C62" s="27"/>
      <c r="D62" s="28"/>
      <c r="E62" s="45"/>
      <c r="F62" s="6">
        <f>SUM(F55:F61)</f>
        <v>20</v>
      </c>
      <c r="G62" s="7"/>
      <c r="H62" s="35" t="s">
        <v>17</v>
      </c>
      <c r="I62" s="27"/>
      <c r="J62" s="28"/>
      <c r="K62" s="45"/>
      <c r="L62" s="6">
        <f>SUM(L55:L61)</f>
        <v>62</v>
      </c>
      <c r="M62" s="7"/>
      <c r="O62" s="7"/>
      <c r="Q62" s="7"/>
      <c r="S62" s="7"/>
      <c r="U62" s="7"/>
      <c r="W62" s="7"/>
    </row>
    <row r="63">
      <c r="F63" s="7"/>
      <c r="G63" s="7"/>
      <c r="I63" s="7"/>
      <c r="K63" s="7"/>
      <c r="L63" s="7"/>
      <c r="M63" s="7"/>
      <c r="O63" s="7"/>
      <c r="Q63" s="7"/>
      <c r="S63" s="7"/>
      <c r="U63" s="7"/>
      <c r="W63" s="7"/>
    </row>
    <row r="64">
      <c r="A64" s="25"/>
      <c r="B64" s="26" t="s">
        <v>21</v>
      </c>
      <c r="C64" s="27"/>
      <c r="D64" s="27"/>
      <c r="E64" s="27"/>
      <c r="F64" s="28"/>
      <c r="G64" s="7"/>
      <c r="H64" s="26" t="s">
        <v>20</v>
      </c>
      <c r="I64" s="27"/>
      <c r="J64" s="27"/>
      <c r="K64" s="27"/>
      <c r="L64" s="28"/>
      <c r="M64" s="7"/>
      <c r="O64" s="7"/>
      <c r="Q64" s="7"/>
      <c r="S64" s="7"/>
      <c r="U64" s="7"/>
      <c r="W64" s="7"/>
    </row>
    <row r="65">
      <c r="A65" s="25"/>
      <c r="B65" s="26" t="s">
        <v>33</v>
      </c>
      <c r="C65" s="27"/>
      <c r="D65" s="28"/>
      <c r="E65" s="30" t="s">
        <v>34</v>
      </c>
      <c r="F65" s="31" t="s">
        <v>35</v>
      </c>
      <c r="G65" s="7"/>
      <c r="H65" s="26" t="s">
        <v>33</v>
      </c>
      <c r="I65" s="27"/>
      <c r="J65" s="28"/>
      <c r="K65" s="30" t="s">
        <v>34</v>
      </c>
      <c r="L65" s="31" t="s">
        <v>35</v>
      </c>
      <c r="M65" s="7"/>
      <c r="O65" s="7"/>
      <c r="Q65" s="7"/>
      <c r="S65" s="7"/>
      <c r="U65" s="7"/>
      <c r="W65" s="7"/>
    </row>
    <row r="66">
      <c r="A66" s="2"/>
      <c r="B66" s="35" t="s">
        <v>124</v>
      </c>
      <c r="C66" s="27"/>
      <c r="D66" s="28"/>
      <c r="E66" s="36">
        <v>43504.0</v>
      </c>
      <c r="F66" s="3">
        <f>24.54/4</f>
        <v>6.135</v>
      </c>
      <c r="G66" s="7"/>
      <c r="H66" s="35" t="s">
        <v>125</v>
      </c>
      <c r="I66" s="27"/>
      <c r="J66" s="28"/>
      <c r="K66" s="36">
        <v>43505.0</v>
      </c>
      <c r="L66" s="3">
        <f>180.27/4</f>
        <v>45.0675</v>
      </c>
      <c r="M66" s="7"/>
      <c r="O66" s="7"/>
      <c r="Q66" s="7"/>
      <c r="S66" s="7"/>
      <c r="U66" s="7"/>
      <c r="W66" s="7"/>
    </row>
    <row r="67">
      <c r="A67" s="50"/>
      <c r="B67" s="53"/>
      <c r="C67" s="27"/>
      <c r="D67" s="28"/>
      <c r="E67" s="45"/>
      <c r="F67" s="6"/>
      <c r="G67" s="7"/>
      <c r="H67" s="53"/>
      <c r="I67" s="27"/>
      <c r="J67" s="28"/>
      <c r="K67" s="45"/>
      <c r="L67" s="6"/>
      <c r="M67" s="7"/>
      <c r="O67" s="7"/>
      <c r="Q67" s="7"/>
      <c r="S67" s="7"/>
      <c r="U67" s="7"/>
      <c r="W67" s="7"/>
    </row>
    <row r="68">
      <c r="A68" s="50"/>
      <c r="B68" s="53"/>
      <c r="C68" s="27"/>
      <c r="D68" s="28"/>
      <c r="E68" s="45"/>
      <c r="F68" s="6"/>
      <c r="G68" s="7"/>
      <c r="H68" s="53"/>
      <c r="I68" s="27"/>
      <c r="J68" s="28"/>
      <c r="K68" s="45"/>
      <c r="L68" s="6"/>
      <c r="M68" s="7"/>
      <c r="O68" s="7"/>
      <c r="Q68" s="7"/>
      <c r="S68" s="7"/>
      <c r="U68" s="7"/>
      <c r="W68" s="7"/>
    </row>
    <row r="69">
      <c r="A69" s="50"/>
      <c r="B69" s="53"/>
      <c r="C69" s="27"/>
      <c r="D69" s="28"/>
      <c r="E69" s="45"/>
      <c r="F69" s="6"/>
      <c r="G69" s="7"/>
      <c r="H69" s="53"/>
      <c r="I69" s="27"/>
      <c r="J69" s="28"/>
      <c r="K69" s="45"/>
      <c r="L69" s="6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45"/>
      <c r="F70" s="6"/>
      <c r="G70" s="7"/>
      <c r="H70" s="53"/>
      <c r="I70" s="27"/>
      <c r="J70" s="28"/>
      <c r="K70" s="45"/>
      <c r="L70" s="6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53"/>
      <c r="I71" s="27"/>
      <c r="J71" s="28"/>
      <c r="K71" s="45"/>
      <c r="L71" s="6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53"/>
      <c r="I72" s="27"/>
      <c r="J72" s="28"/>
      <c r="K72" s="45"/>
      <c r="L72" s="6"/>
      <c r="M72" s="7"/>
      <c r="O72" s="7"/>
      <c r="Q72" s="7"/>
      <c r="S72" s="7"/>
      <c r="U72" s="7"/>
      <c r="W72" s="7"/>
    </row>
    <row r="73">
      <c r="A73" s="2"/>
      <c r="B73" s="35" t="s">
        <v>17</v>
      </c>
      <c r="C73" s="27"/>
      <c r="D73" s="28"/>
      <c r="E73" s="45"/>
      <c r="F73" s="6">
        <f>SUM(F66:F72)</f>
        <v>6.135</v>
      </c>
      <c r="G73" s="7"/>
      <c r="H73" s="35" t="s">
        <v>17</v>
      </c>
      <c r="I73" s="27"/>
      <c r="J73" s="28"/>
      <c r="K73" s="45"/>
      <c r="L73" s="6">
        <f>SUM(L66:L72)</f>
        <v>45.0675</v>
      </c>
      <c r="M73" s="7"/>
      <c r="O73" s="7"/>
      <c r="Q73" s="7"/>
      <c r="S73" s="7"/>
      <c r="U73" s="7"/>
      <c r="W73" s="7"/>
    </row>
    <row r="74">
      <c r="F74" s="7"/>
      <c r="G74" s="7"/>
      <c r="I74" s="7"/>
      <c r="K74" s="7"/>
      <c r="L74" s="7"/>
      <c r="M74" s="7"/>
      <c r="O74" s="7"/>
      <c r="Q74" s="7"/>
      <c r="S74" s="7"/>
      <c r="U74" s="7"/>
      <c r="W74" s="7"/>
    </row>
    <row r="75">
      <c r="A75" s="25"/>
      <c r="B75" s="26" t="s">
        <v>22</v>
      </c>
      <c r="C75" s="27"/>
      <c r="D75" s="27"/>
      <c r="E75" s="27"/>
      <c r="F75" s="28"/>
      <c r="G75" s="7"/>
      <c r="H75" s="26" t="s">
        <v>83</v>
      </c>
      <c r="I75" s="27"/>
      <c r="J75" s="27"/>
      <c r="K75" s="27"/>
      <c r="L75" s="28"/>
      <c r="M75" s="7"/>
      <c r="O75" s="7"/>
      <c r="Q75" s="7"/>
      <c r="S75" s="7"/>
      <c r="U75" s="7"/>
      <c r="W75" s="7"/>
    </row>
    <row r="76">
      <c r="A76" s="25"/>
      <c r="B76" s="26" t="s">
        <v>33</v>
      </c>
      <c r="C76" s="27"/>
      <c r="D76" s="28"/>
      <c r="E76" s="30" t="s">
        <v>34</v>
      </c>
      <c r="F76" s="31" t="s">
        <v>35</v>
      </c>
      <c r="G76" s="7"/>
      <c r="H76" s="26" t="s">
        <v>33</v>
      </c>
      <c r="I76" s="27"/>
      <c r="J76" s="28"/>
      <c r="K76" s="30" t="s">
        <v>34</v>
      </c>
      <c r="L76" s="31" t="s">
        <v>35</v>
      </c>
      <c r="M76" s="7"/>
      <c r="O76" s="7"/>
      <c r="Q76" s="7"/>
      <c r="S76" s="7"/>
      <c r="U76" s="7"/>
      <c r="W76" s="7"/>
    </row>
    <row r="77">
      <c r="A77" s="2"/>
      <c r="B77" s="35"/>
      <c r="C77" s="27"/>
      <c r="D77" s="28"/>
      <c r="E77" s="36"/>
      <c r="F77" s="3"/>
      <c r="G77" s="7"/>
      <c r="H77" s="35"/>
      <c r="I77" s="27"/>
      <c r="J77" s="28"/>
      <c r="K77" s="36"/>
      <c r="L77" s="3"/>
      <c r="M77" s="7"/>
      <c r="O77" s="7"/>
      <c r="Q77" s="7"/>
      <c r="S77" s="7"/>
      <c r="U77" s="7"/>
      <c r="W77" s="7"/>
    </row>
    <row r="78">
      <c r="A78" s="50"/>
      <c r="B78" s="53"/>
      <c r="C78" s="27"/>
      <c r="D78" s="28"/>
      <c r="E78" s="45"/>
      <c r="F78" s="6"/>
      <c r="G78" s="7"/>
      <c r="H78" s="53"/>
      <c r="I78" s="27"/>
      <c r="J78" s="28"/>
      <c r="K78" s="45"/>
      <c r="L78" s="6"/>
      <c r="M78" s="7"/>
      <c r="O78" s="7"/>
      <c r="Q78" s="7"/>
      <c r="S78" s="7"/>
      <c r="U78" s="7"/>
      <c r="W78" s="7"/>
    </row>
    <row r="79">
      <c r="A79" s="50"/>
      <c r="B79" s="53"/>
      <c r="C79" s="27"/>
      <c r="D79" s="28"/>
      <c r="E79" s="45"/>
      <c r="F79" s="6"/>
      <c r="G79" s="7"/>
      <c r="H79" s="53"/>
      <c r="I79" s="27"/>
      <c r="J79" s="28"/>
      <c r="K79" s="45"/>
      <c r="L79" s="6"/>
      <c r="M79" s="7"/>
      <c r="O79" s="7"/>
      <c r="Q79" s="7"/>
      <c r="S79" s="7"/>
      <c r="U79" s="7"/>
      <c r="W79" s="7"/>
    </row>
    <row r="80">
      <c r="A80" s="50"/>
      <c r="B80" s="53"/>
      <c r="C80" s="27"/>
      <c r="D80" s="28"/>
      <c r="E80" s="45"/>
      <c r="F80" s="6"/>
      <c r="G80" s="7"/>
      <c r="H80" s="53"/>
      <c r="I80" s="27"/>
      <c r="J80" s="28"/>
      <c r="K80" s="45"/>
      <c r="L80" s="6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45"/>
      <c r="F81" s="6"/>
      <c r="G81" s="7"/>
      <c r="H81" s="53"/>
      <c r="I81" s="27"/>
      <c r="J81" s="28"/>
      <c r="K81" s="45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45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45"/>
      <c r="L83" s="6"/>
      <c r="M83" s="7"/>
      <c r="O83" s="7"/>
      <c r="Q83" s="7"/>
      <c r="S83" s="7"/>
      <c r="U83" s="7"/>
      <c r="W83" s="7"/>
    </row>
    <row r="84">
      <c r="A84" s="2"/>
      <c r="B84" s="35" t="s">
        <v>17</v>
      </c>
      <c r="C84" s="27"/>
      <c r="D84" s="28"/>
      <c r="E84" s="45"/>
      <c r="F84" s="6">
        <f>SUM(F77:F83)</f>
        <v>0</v>
      </c>
      <c r="G84" s="7"/>
      <c r="H84" s="35" t="s">
        <v>17</v>
      </c>
      <c r="I84" s="27"/>
      <c r="J84" s="28"/>
      <c r="K84" s="45"/>
      <c r="L84" s="6">
        <f>SUM(L77:L83)</f>
        <v>0</v>
      </c>
      <c r="M84" s="7"/>
      <c r="O84" s="7"/>
      <c r="Q84" s="7"/>
      <c r="S84" s="7"/>
      <c r="U84" s="7"/>
      <c r="W84" s="7"/>
    </row>
    <row r="85">
      <c r="F85" s="7"/>
      <c r="G85" s="7"/>
      <c r="I85" s="7"/>
      <c r="K85" s="7"/>
      <c r="L85" s="7"/>
      <c r="M85" s="7"/>
      <c r="O85" s="7"/>
      <c r="Q85" s="7"/>
      <c r="S85" s="7"/>
      <c r="U85" s="7"/>
      <c r="W85" s="7"/>
    </row>
    <row r="86">
      <c r="B86" s="26" t="s">
        <v>28</v>
      </c>
      <c r="C86" s="27"/>
      <c r="D86" s="27"/>
      <c r="E86" s="27"/>
      <c r="F86" s="28"/>
      <c r="G86" s="7"/>
      <c r="I86" s="7"/>
      <c r="K86" s="7"/>
      <c r="L86" s="7"/>
      <c r="M86" s="7"/>
      <c r="O86" s="7"/>
      <c r="Q86" s="7"/>
      <c r="S86" s="7"/>
      <c r="U86" s="7"/>
      <c r="W86" s="7"/>
    </row>
    <row r="87">
      <c r="B87" s="26" t="s">
        <v>33</v>
      </c>
      <c r="C87" s="27"/>
      <c r="D87" s="28"/>
      <c r="E87" s="30" t="s">
        <v>34</v>
      </c>
      <c r="F87" s="31" t="s">
        <v>35</v>
      </c>
      <c r="G87" s="7"/>
      <c r="I87" s="7"/>
      <c r="K87" s="7"/>
      <c r="L87" s="7"/>
      <c r="M87" s="7"/>
      <c r="O87" s="7"/>
      <c r="Q87" s="7"/>
      <c r="S87" s="7"/>
      <c r="U87" s="7"/>
      <c r="W87" s="7"/>
    </row>
    <row r="88">
      <c r="B88" s="35" t="s">
        <v>86</v>
      </c>
      <c r="C88" s="27"/>
      <c r="D88" s="28"/>
      <c r="E88" s="36">
        <v>43498.0</v>
      </c>
      <c r="F88" s="3">
        <v>20.0</v>
      </c>
      <c r="G88" s="7"/>
      <c r="I88" s="7"/>
      <c r="K88" s="7"/>
      <c r="L88" s="7"/>
      <c r="M88" s="7"/>
      <c r="O88" s="7"/>
      <c r="Q88" s="7"/>
      <c r="S88" s="7"/>
      <c r="U88" s="7"/>
      <c r="W88" s="7"/>
    </row>
    <row r="89">
      <c r="B89" s="35" t="s">
        <v>126</v>
      </c>
      <c r="C89" s="27"/>
      <c r="D89" s="28"/>
      <c r="E89" s="36">
        <v>43505.0</v>
      </c>
      <c r="F89" s="3">
        <v>38.22</v>
      </c>
      <c r="G89" s="7"/>
      <c r="I89" s="7"/>
      <c r="K89" s="7"/>
      <c r="L89" s="7"/>
      <c r="M89" s="7"/>
      <c r="O89" s="7"/>
      <c r="Q89" s="7"/>
      <c r="S89" s="7"/>
      <c r="U89" s="7"/>
      <c r="W89" s="7"/>
    </row>
    <row r="90">
      <c r="B90" s="35" t="s">
        <v>127</v>
      </c>
      <c r="C90" s="27"/>
      <c r="D90" s="28"/>
      <c r="E90" s="36">
        <v>43505.0</v>
      </c>
      <c r="F90" s="3">
        <v>1.5</v>
      </c>
      <c r="G90" s="7"/>
      <c r="I90" s="7"/>
      <c r="K90" s="7"/>
      <c r="L90" s="7"/>
      <c r="M90" s="7"/>
      <c r="O90" s="7"/>
      <c r="Q90" s="7"/>
      <c r="S90" s="7"/>
      <c r="U90" s="7"/>
      <c r="W90" s="7"/>
    </row>
    <row r="91">
      <c r="B91" s="35" t="s">
        <v>128</v>
      </c>
      <c r="C91" s="27"/>
      <c r="D91" s="28"/>
      <c r="E91" s="36">
        <v>43515.0</v>
      </c>
      <c r="F91" s="3">
        <v>22.0</v>
      </c>
      <c r="G91" s="7"/>
      <c r="I91" s="7"/>
      <c r="K91" s="7"/>
      <c r="L91" s="7"/>
      <c r="M91" s="7"/>
      <c r="O91" s="7"/>
      <c r="Q91" s="7"/>
      <c r="S91" s="7"/>
      <c r="U91" s="7"/>
      <c r="W91" s="7"/>
    </row>
    <row r="92">
      <c r="B92" s="35" t="s">
        <v>86</v>
      </c>
      <c r="C92" s="27"/>
      <c r="D92" s="28"/>
      <c r="E92" s="36">
        <v>43517.0</v>
      </c>
      <c r="F92" s="3">
        <v>10.0</v>
      </c>
      <c r="G92" s="7"/>
      <c r="H92" s="7">
        <f>F88+F89+F92+F94</f>
        <v>88.22</v>
      </c>
      <c r="I92" s="7"/>
      <c r="K92" s="7"/>
      <c r="L92" s="7"/>
      <c r="M92" s="7"/>
      <c r="O92" s="7"/>
      <c r="Q92" s="7"/>
      <c r="S92" s="7"/>
      <c r="U92" s="7"/>
      <c r="W92" s="7"/>
    </row>
    <row r="93">
      <c r="B93" s="35" t="s">
        <v>129</v>
      </c>
      <c r="C93" s="27"/>
      <c r="D93" s="28"/>
      <c r="E93" s="36">
        <v>43519.0</v>
      </c>
      <c r="F93" s="3">
        <v>13.0</v>
      </c>
      <c r="G93" s="7"/>
      <c r="I93" s="7"/>
      <c r="K93" s="7"/>
      <c r="L93" s="7"/>
      <c r="M93" s="7"/>
      <c r="O93" s="7"/>
      <c r="Q93" s="7"/>
      <c r="S93" s="7"/>
      <c r="U93" s="7"/>
      <c r="W93" s="7"/>
    </row>
    <row r="94">
      <c r="B94" s="35" t="s">
        <v>86</v>
      </c>
      <c r="C94" s="27"/>
      <c r="D94" s="28"/>
      <c r="E94" s="36">
        <v>43522.0</v>
      </c>
      <c r="F94" s="3">
        <v>20.0</v>
      </c>
      <c r="G94" s="7"/>
      <c r="I94" s="7"/>
      <c r="K94" s="7"/>
      <c r="L94" s="7"/>
      <c r="M94" s="7"/>
      <c r="O94" s="7"/>
      <c r="Q94" s="7"/>
      <c r="S94" s="7"/>
      <c r="U94" s="7"/>
      <c r="W94" s="7"/>
    </row>
    <row r="95">
      <c r="B95" s="35" t="s">
        <v>17</v>
      </c>
      <c r="C95" s="27"/>
      <c r="D95" s="28"/>
      <c r="E95" s="45"/>
      <c r="F95" s="6">
        <f>SUM(F88:F94)</f>
        <v>124.72</v>
      </c>
      <c r="G95" s="7"/>
      <c r="I95" s="7"/>
      <c r="K95" s="7"/>
      <c r="L95" s="7"/>
      <c r="M95" s="7"/>
      <c r="O95" s="7"/>
      <c r="Q95" s="7"/>
      <c r="S95" s="7"/>
      <c r="U95" s="7"/>
      <c r="W95" s="7"/>
    </row>
    <row r="96">
      <c r="F96" s="7"/>
      <c r="G96" s="7"/>
      <c r="I96" s="7"/>
      <c r="K96" s="7"/>
      <c r="L96" s="7"/>
      <c r="M96" s="7"/>
      <c r="O96" s="7"/>
      <c r="Q96" s="7"/>
      <c r="S96" s="7"/>
      <c r="U96" s="7"/>
      <c r="W96" s="7"/>
    </row>
    <row r="97">
      <c r="F97" s="7"/>
      <c r="G97" s="7"/>
      <c r="I97" s="7"/>
      <c r="K97" s="7"/>
      <c r="L97" s="7"/>
      <c r="M97" s="7"/>
      <c r="O97" s="7"/>
      <c r="Q97" s="7"/>
      <c r="S97" s="7"/>
      <c r="U97" s="7"/>
      <c r="W97" s="7"/>
    </row>
    <row r="98">
      <c r="F98" s="7"/>
      <c r="G98" s="7"/>
      <c r="I98" s="7"/>
      <c r="K98" s="7"/>
      <c r="L98" s="7"/>
      <c r="M98" s="7"/>
      <c r="O98" s="7"/>
      <c r="Q98" s="7"/>
      <c r="S98" s="7"/>
      <c r="U98" s="7"/>
      <c r="W98" s="7"/>
    </row>
    <row r="99">
      <c r="F99" s="7"/>
      <c r="G99" s="7"/>
      <c r="I99" s="7"/>
      <c r="K99" s="7"/>
      <c r="L99" s="7"/>
      <c r="M99" s="7"/>
      <c r="O99" s="7"/>
      <c r="Q99" s="7"/>
      <c r="S99" s="7"/>
      <c r="U99" s="7"/>
      <c r="W99" s="7"/>
    </row>
    <row r="100">
      <c r="F100" s="7"/>
      <c r="G100" s="7"/>
      <c r="I100" s="7"/>
      <c r="K100" s="7"/>
      <c r="L100" s="7"/>
      <c r="M100" s="7"/>
      <c r="O100" s="7"/>
      <c r="Q100" s="7"/>
      <c r="S100" s="7"/>
      <c r="U100" s="7"/>
      <c r="W100" s="7"/>
    </row>
    <row r="101">
      <c r="F101" s="7"/>
      <c r="G101" s="7"/>
      <c r="I101" s="7"/>
      <c r="K101" s="7"/>
      <c r="L101" s="7"/>
      <c r="M101" s="7"/>
      <c r="O101" s="7"/>
      <c r="Q101" s="7"/>
      <c r="S101" s="7"/>
      <c r="U101" s="7"/>
      <c r="W101" s="7"/>
    </row>
    <row r="102">
      <c r="F102" s="7"/>
      <c r="G102" s="7"/>
      <c r="I102" s="7"/>
      <c r="K102" s="7"/>
      <c r="L102" s="7"/>
      <c r="M102" s="7"/>
      <c r="O102" s="7"/>
      <c r="Q102" s="7"/>
      <c r="S102" s="7"/>
      <c r="U102" s="7"/>
      <c r="W102" s="7"/>
    </row>
    <row r="103">
      <c r="F103" s="7"/>
      <c r="G103" s="7"/>
      <c r="I103" s="7"/>
      <c r="K103" s="7"/>
      <c r="L103" s="7"/>
      <c r="M103" s="7"/>
      <c r="O103" s="7"/>
      <c r="Q103" s="7"/>
      <c r="S103" s="7"/>
      <c r="U103" s="7"/>
      <c r="W103" s="7"/>
    </row>
    <row r="104">
      <c r="F104" s="7"/>
      <c r="G104" s="7"/>
      <c r="I104" s="7"/>
      <c r="K104" s="7"/>
      <c r="L104" s="7"/>
      <c r="M104" s="7"/>
      <c r="O104" s="7"/>
      <c r="Q104" s="7"/>
      <c r="S104" s="7"/>
      <c r="U104" s="7"/>
      <c r="W104" s="7"/>
    </row>
    <row r="105">
      <c r="F105" s="7"/>
      <c r="G105" s="7"/>
      <c r="I105" s="7"/>
      <c r="K105" s="7"/>
      <c r="L105" s="7"/>
      <c r="M105" s="7"/>
      <c r="O105" s="7"/>
      <c r="Q105" s="7"/>
      <c r="S105" s="7"/>
      <c r="U105" s="7"/>
      <c r="W105" s="7"/>
    </row>
    <row r="106">
      <c r="F106" s="7"/>
      <c r="G106" s="7"/>
      <c r="I106" s="7"/>
      <c r="K106" s="7"/>
      <c r="L106" s="7"/>
      <c r="M106" s="7"/>
      <c r="O106" s="7"/>
      <c r="Q106" s="7"/>
      <c r="S106" s="7"/>
      <c r="U106" s="7"/>
      <c r="W106" s="7"/>
    </row>
    <row r="107">
      <c r="F107" s="7"/>
      <c r="G107" s="7"/>
      <c r="I107" s="7"/>
      <c r="K107" s="7"/>
      <c r="L107" s="7"/>
      <c r="M107" s="7"/>
      <c r="O107" s="7"/>
      <c r="Q107" s="7"/>
      <c r="S107" s="7"/>
      <c r="U107" s="7"/>
      <c r="W107" s="7"/>
    </row>
    <row r="108">
      <c r="F108" s="7"/>
      <c r="G108" s="7"/>
      <c r="I108" s="7"/>
      <c r="K108" s="7"/>
      <c r="L108" s="7"/>
      <c r="M108" s="7"/>
      <c r="O108" s="7"/>
      <c r="Q108" s="7"/>
      <c r="S108" s="7"/>
      <c r="U108" s="7"/>
      <c r="W108" s="7"/>
    </row>
    <row r="109">
      <c r="F109" s="7"/>
      <c r="G109" s="7"/>
      <c r="I109" s="7"/>
      <c r="K109" s="7"/>
      <c r="L109" s="7"/>
      <c r="M109" s="7"/>
      <c r="O109" s="7"/>
      <c r="Q109" s="7"/>
      <c r="S109" s="7"/>
      <c r="U109" s="7"/>
      <c r="W109" s="7"/>
    </row>
    <row r="110">
      <c r="F110" s="7"/>
      <c r="G110" s="7"/>
      <c r="I110" s="7"/>
      <c r="K110" s="7"/>
      <c r="L110" s="7"/>
      <c r="M110" s="7"/>
      <c r="O110" s="7"/>
      <c r="Q110" s="7"/>
      <c r="S110" s="7"/>
      <c r="U110" s="7"/>
      <c r="W110" s="7"/>
    </row>
    <row r="111">
      <c r="F111" s="7"/>
      <c r="G111" s="7"/>
      <c r="I111" s="7"/>
      <c r="K111" s="7"/>
      <c r="L111" s="7"/>
      <c r="M111" s="7"/>
      <c r="O111" s="7"/>
      <c r="Q111" s="7"/>
      <c r="S111" s="7"/>
      <c r="U111" s="7"/>
      <c r="W111" s="7"/>
    </row>
    <row r="112">
      <c r="F112" s="7"/>
      <c r="G112" s="7"/>
      <c r="I112" s="7"/>
      <c r="K112" s="7"/>
      <c r="L112" s="7"/>
      <c r="M112" s="7"/>
      <c r="O112" s="7"/>
      <c r="Q112" s="7"/>
      <c r="S112" s="7"/>
      <c r="U112" s="7"/>
      <c r="W112" s="7"/>
    </row>
    <row r="113">
      <c r="F113" s="7"/>
      <c r="G113" s="7"/>
      <c r="I113" s="7"/>
      <c r="K113" s="7"/>
      <c r="L113" s="7"/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F115" s="7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F116" s="7"/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F117" s="7"/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F118" s="7"/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</sheetData>
  <mergeCells count="163">
    <mergeCell ref="H30:J30"/>
    <mergeCell ref="H31:J31"/>
    <mergeCell ref="H22:J22"/>
    <mergeCell ref="H23:J23"/>
    <mergeCell ref="H24:J24"/>
    <mergeCell ref="H25:J25"/>
    <mergeCell ref="H26:J26"/>
    <mergeCell ref="H27:J27"/>
    <mergeCell ref="H29:L29"/>
    <mergeCell ref="H9:J9"/>
    <mergeCell ref="H10:J10"/>
    <mergeCell ref="H15:J15"/>
    <mergeCell ref="H16:J16"/>
    <mergeCell ref="H17:J17"/>
    <mergeCell ref="H18:J18"/>
    <mergeCell ref="H19:J19"/>
    <mergeCell ref="H20:J20"/>
    <mergeCell ref="H21:J21"/>
    <mergeCell ref="H39:J39"/>
    <mergeCell ref="H40:J40"/>
    <mergeCell ref="H32:J32"/>
    <mergeCell ref="H33:J33"/>
    <mergeCell ref="H34:J34"/>
    <mergeCell ref="H35:J35"/>
    <mergeCell ref="H36:J36"/>
    <mergeCell ref="H37:J37"/>
    <mergeCell ref="H38:J38"/>
    <mergeCell ref="B1:L3"/>
    <mergeCell ref="B4:F4"/>
    <mergeCell ref="H4:L4"/>
    <mergeCell ref="N4:O4"/>
    <mergeCell ref="B5:D5"/>
    <mergeCell ref="H5:J5"/>
    <mergeCell ref="H6:J6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7:D27"/>
    <mergeCell ref="B29:F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H44:J44"/>
    <mergeCell ref="H45:J45"/>
    <mergeCell ref="B58:D58"/>
    <mergeCell ref="H58:J58"/>
    <mergeCell ref="B59:D59"/>
    <mergeCell ref="H59:J59"/>
    <mergeCell ref="B60:D60"/>
    <mergeCell ref="H60:J60"/>
    <mergeCell ref="H61:J61"/>
    <mergeCell ref="H62:J62"/>
    <mergeCell ref="B61:D61"/>
    <mergeCell ref="B62:D62"/>
    <mergeCell ref="B64:F64"/>
    <mergeCell ref="H64:L64"/>
    <mergeCell ref="B65:D65"/>
    <mergeCell ref="H65:J65"/>
    <mergeCell ref="H66:J66"/>
    <mergeCell ref="H69:J69"/>
    <mergeCell ref="H70:J70"/>
    <mergeCell ref="B66:D66"/>
    <mergeCell ref="B67:D67"/>
    <mergeCell ref="H67:J67"/>
    <mergeCell ref="B68:D68"/>
    <mergeCell ref="H68:J68"/>
    <mergeCell ref="B69:D69"/>
    <mergeCell ref="B70:D70"/>
    <mergeCell ref="H78:J78"/>
    <mergeCell ref="H79:J79"/>
    <mergeCell ref="B75:F75"/>
    <mergeCell ref="B76:D76"/>
    <mergeCell ref="H76:J76"/>
    <mergeCell ref="B77:D77"/>
    <mergeCell ref="H77:J77"/>
    <mergeCell ref="B78:D78"/>
    <mergeCell ref="B79:D79"/>
    <mergeCell ref="B80:D80"/>
    <mergeCell ref="H80:J80"/>
    <mergeCell ref="B81:D81"/>
    <mergeCell ref="H81:J81"/>
    <mergeCell ref="B82:D82"/>
    <mergeCell ref="H82:J82"/>
    <mergeCell ref="H83:J83"/>
    <mergeCell ref="H84:J84"/>
    <mergeCell ref="B91:D91"/>
    <mergeCell ref="B92:D92"/>
    <mergeCell ref="B93:D93"/>
    <mergeCell ref="B94:D94"/>
    <mergeCell ref="B95:D95"/>
    <mergeCell ref="B83:D83"/>
    <mergeCell ref="B84:D84"/>
    <mergeCell ref="B86:F86"/>
    <mergeCell ref="B87:D87"/>
    <mergeCell ref="B88:D88"/>
    <mergeCell ref="B89:D89"/>
    <mergeCell ref="B90:D90"/>
    <mergeCell ref="B39:D39"/>
    <mergeCell ref="B40:D40"/>
    <mergeCell ref="B41:D41"/>
    <mergeCell ref="H41:J41"/>
    <mergeCell ref="B42:D42"/>
    <mergeCell ref="H42:J42"/>
    <mergeCell ref="H43:J43"/>
    <mergeCell ref="H47:J47"/>
    <mergeCell ref="H48:J48"/>
    <mergeCell ref="B43:D43"/>
    <mergeCell ref="B44:D44"/>
    <mergeCell ref="B45:D45"/>
    <mergeCell ref="B46:D46"/>
    <mergeCell ref="H46:J46"/>
    <mergeCell ref="B47:D47"/>
    <mergeCell ref="B48:D48"/>
    <mergeCell ref="B49:D49"/>
    <mergeCell ref="H49:J49"/>
    <mergeCell ref="B50:D50"/>
    <mergeCell ref="H50:J50"/>
    <mergeCell ref="B51:D51"/>
    <mergeCell ref="H51:J51"/>
    <mergeCell ref="H53:L53"/>
    <mergeCell ref="H56:J56"/>
    <mergeCell ref="H57:J57"/>
    <mergeCell ref="B53:F53"/>
    <mergeCell ref="B54:D54"/>
    <mergeCell ref="H54:J54"/>
    <mergeCell ref="B55:D55"/>
    <mergeCell ref="H55:J55"/>
    <mergeCell ref="B56:D56"/>
    <mergeCell ref="B57:D57"/>
    <mergeCell ref="B71:D71"/>
    <mergeCell ref="H71:J71"/>
    <mergeCell ref="B72:D72"/>
    <mergeCell ref="H72:J72"/>
    <mergeCell ref="B73:D73"/>
    <mergeCell ref="H73:J73"/>
    <mergeCell ref="H75:L7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130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 t="s">
        <v>131</v>
      </c>
      <c r="C6" s="27"/>
      <c r="D6" s="28"/>
      <c r="E6" s="38">
        <v>43529.0</v>
      </c>
      <c r="F6" s="31">
        <v>13.0</v>
      </c>
      <c r="G6" s="32"/>
      <c r="H6" s="35" t="s">
        <v>93</v>
      </c>
      <c r="I6" s="27"/>
      <c r="J6" s="28"/>
      <c r="K6" s="36">
        <v>43525.0</v>
      </c>
      <c r="L6" s="3">
        <v>1.5</v>
      </c>
      <c r="M6" s="7"/>
      <c r="N6" s="2"/>
      <c r="O6" s="5"/>
      <c r="S6" s="7"/>
      <c r="U6" s="7"/>
    </row>
    <row r="7">
      <c r="A7" s="33"/>
      <c r="B7" s="35" t="s">
        <v>132</v>
      </c>
      <c r="C7" s="27"/>
      <c r="D7" s="28"/>
      <c r="E7" s="36">
        <v>43542.0</v>
      </c>
      <c r="F7" s="31">
        <v>12.0</v>
      </c>
      <c r="G7" s="37"/>
      <c r="H7" s="35" t="s">
        <v>133</v>
      </c>
      <c r="I7" s="27"/>
      <c r="J7" s="28"/>
      <c r="K7" s="36">
        <v>43526.0</v>
      </c>
      <c r="L7" s="3">
        <v>15.0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39</v>
      </c>
      <c r="I8" s="27"/>
      <c r="J8" s="28"/>
      <c r="K8" s="36">
        <v>43527.0</v>
      </c>
      <c r="L8" s="3">
        <v>1.5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134</v>
      </c>
      <c r="I9" s="27"/>
      <c r="J9" s="28"/>
      <c r="K9" s="36">
        <v>43529.0</v>
      </c>
      <c r="L9" s="3">
        <v>12.0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51</v>
      </c>
      <c r="I10" s="27"/>
      <c r="J10" s="28"/>
      <c r="K10" s="36">
        <v>43530.0</v>
      </c>
      <c r="L10" s="3">
        <f>1.5+1</f>
        <v>2.5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135</v>
      </c>
      <c r="I11" s="27"/>
      <c r="J11" s="28"/>
      <c r="K11" s="36">
        <v>43531.0</v>
      </c>
      <c r="L11" s="3">
        <f>1.5+2</f>
        <v>3.5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36">
        <v>43532.0</v>
      </c>
      <c r="L12" s="3">
        <v>1.5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56</v>
      </c>
      <c r="I13" s="27"/>
      <c r="J13" s="28"/>
      <c r="K13" s="36">
        <v>43533.0</v>
      </c>
      <c r="L13" s="3">
        <v>4.0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39</v>
      </c>
      <c r="I14" s="27"/>
      <c r="J14" s="28"/>
      <c r="K14" s="36">
        <v>43535.0</v>
      </c>
      <c r="L14" s="3">
        <v>2.0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135</v>
      </c>
      <c r="I15" s="27"/>
      <c r="J15" s="28"/>
      <c r="K15" s="36">
        <v>43536.0</v>
      </c>
      <c r="L15" s="3">
        <f>1.5+2</f>
        <v>3.5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43537.0</v>
      </c>
      <c r="L16" s="3">
        <v>2.0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39</v>
      </c>
      <c r="I17" s="27"/>
      <c r="J17" s="28"/>
      <c r="K17" s="36">
        <v>43538.0</v>
      </c>
      <c r="L17" s="3">
        <v>1.5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135</v>
      </c>
      <c r="I18" s="27"/>
      <c r="J18" s="28"/>
      <c r="K18" s="36">
        <v>43539.0</v>
      </c>
      <c r="L18" s="3">
        <f>1.5+1</f>
        <v>2.5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39</v>
      </c>
      <c r="I19" s="27"/>
      <c r="J19" s="28"/>
      <c r="K19" s="36">
        <v>43540.0</v>
      </c>
      <c r="L19" s="3">
        <v>0.5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43</v>
      </c>
      <c r="I20" s="27"/>
      <c r="J20" s="28"/>
      <c r="K20" s="36">
        <v>43541.0</v>
      </c>
      <c r="L20" s="3">
        <v>12.02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39</v>
      </c>
      <c r="I21" s="27"/>
      <c r="J21" s="28"/>
      <c r="K21" s="36">
        <v>43542.0</v>
      </c>
      <c r="L21" s="3">
        <v>2.0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39</v>
      </c>
      <c r="I22" s="27"/>
      <c r="J22" s="28"/>
      <c r="K22" s="36">
        <v>43543.0</v>
      </c>
      <c r="L22" s="3">
        <v>2.0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136</v>
      </c>
      <c r="I23" s="27"/>
      <c r="J23" s="28"/>
      <c r="K23" s="36">
        <v>43544.0</v>
      </c>
      <c r="L23" s="3">
        <v>6.6</v>
      </c>
      <c r="M23" s="7"/>
      <c r="N23" s="41"/>
      <c r="O23" s="42"/>
      <c r="Q23" s="7"/>
      <c r="S23" s="7"/>
      <c r="U23" s="7"/>
      <c r="W23" s="7"/>
    </row>
    <row r="24">
      <c r="A24" s="33"/>
      <c r="B24" s="38"/>
      <c r="C24" s="38"/>
      <c r="D24" s="38"/>
      <c r="E24" s="38"/>
      <c r="F24" s="40"/>
      <c r="G24" s="37"/>
      <c r="H24" s="43" t="s">
        <v>39</v>
      </c>
      <c r="I24" s="27"/>
      <c r="J24" s="28"/>
      <c r="K24" s="36">
        <v>43546.0</v>
      </c>
      <c r="L24" s="3">
        <v>6.0</v>
      </c>
      <c r="M24" s="7"/>
      <c r="N24" s="41"/>
      <c r="O24" s="42"/>
      <c r="Q24" s="7"/>
      <c r="S24" s="7"/>
      <c r="U24" s="7"/>
      <c r="W24" s="7"/>
    </row>
    <row r="25">
      <c r="A25" s="33"/>
      <c r="B25" s="38"/>
      <c r="C25" s="38"/>
      <c r="D25" s="38"/>
      <c r="E25" s="38"/>
      <c r="F25" s="40"/>
      <c r="G25" s="37"/>
      <c r="H25" s="43" t="s">
        <v>39</v>
      </c>
      <c r="I25" s="27"/>
      <c r="J25" s="28"/>
      <c r="K25" s="36">
        <v>43548.0</v>
      </c>
      <c r="L25" s="3">
        <v>1.5</v>
      </c>
      <c r="M25" s="7"/>
      <c r="N25" s="41"/>
      <c r="O25" s="42"/>
      <c r="Q25" s="7"/>
      <c r="S25" s="7"/>
      <c r="U25" s="7"/>
      <c r="W25" s="7"/>
    </row>
    <row r="26">
      <c r="A26" s="33"/>
      <c r="B26" s="38"/>
      <c r="C26" s="38"/>
      <c r="D26" s="38"/>
      <c r="E26" s="38"/>
      <c r="F26" s="40"/>
      <c r="G26" s="37"/>
      <c r="H26" s="43" t="s">
        <v>137</v>
      </c>
      <c r="I26" s="27"/>
      <c r="J26" s="28"/>
      <c r="K26" s="36">
        <v>43550.0</v>
      </c>
      <c r="L26" s="3">
        <f>2+12.05</f>
        <v>14.05</v>
      </c>
      <c r="M26" s="7"/>
      <c r="N26" s="41"/>
      <c r="O26" s="42"/>
      <c r="Q26" s="7"/>
      <c r="S26" s="7"/>
      <c r="U26" s="7"/>
      <c r="W26" s="7"/>
    </row>
    <row r="27">
      <c r="A27" s="33"/>
      <c r="B27" s="38"/>
      <c r="C27" s="38"/>
      <c r="D27" s="38"/>
      <c r="E27" s="38"/>
      <c r="F27" s="40"/>
      <c r="G27" s="37"/>
      <c r="H27" s="43" t="s">
        <v>138</v>
      </c>
      <c r="I27" s="27"/>
      <c r="J27" s="28"/>
      <c r="K27" s="36">
        <v>43551.0</v>
      </c>
      <c r="L27" s="3">
        <v>8.0</v>
      </c>
      <c r="M27" s="7"/>
      <c r="N27" s="41"/>
      <c r="O27" s="42"/>
      <c r="Q27" s="7"/>
      <c r="S27" s="7"/>
      <c r="U27" s="7"/>
      <c r="W27" s="7"/>
    </row>
    <row r="28">
      <c r="A28" s="33"/>
      <c r="B28" s="38"/>
      <c r="C28" s="38"/>
      <c r="D28" s="38"/>
      <c r="E28" s="38"/>
      <c r="F28" s="40"/>
      <c r="G28" s="37"/>
      <c r="H28" s="43" t="s">
        <v>139</v>
      </c>
      <c r="I28" s="27"/>
      <c r="J28" s="28"/>
      <c r="K28" s="36">
        <v>43552.0</v>
      </c>
      <c r="L28" s="3">
        <v>2.0</v>
      </c>
      <c r="M28" s="7"/>
      <c r="N28" s="41"/>
      <c r="O28" s="42"/>
      <c r="Q28" s="7"/>
      <c r="S28" s="7"/>
      <c r="U28" s="7"/>
      <c r="W28" s="7"/>
    </row>
    <row r="29">
      <c r="A29" s="33"/>
      <c r="B29" s="38"/>
      <c r="C29" s="38"/>
      <c r="D29" s="38"/>
      <c r="E29" s="38"/>
      <c r="F29" s="40"/>
      <c r="G29" s="37"/>
      <c r="H29" s="43" t="s">
        <v>39</v>
      </c>
      <c r="I29" s="27"/>
      <c r="J29" s="28"/>
      <c r="K29" s="36">
        <v>43554.0</v>
      </c>
      <c r="L29" s="3">
        <v>2.0</v>
      </c>
      <c r="M29" s="7"/>
      <c r="N29" s="41"/>
      <c r="O29" s="42"/>
      <c r="Q29" s="7"/>
      <c r="S29" s="7"/>
      <c r="U29" s="7"/>
      <c r="W29" s="7"/>
    </row>
    <row r="30">
      <c r="A30" s="33"/>
      <c r="B30" s="38"/>
      <c r="C30" s="38"/>
      <c r="D30" s="38"/>
      <c r="E30" s="38"/>
      <c r="F30" s="40"/>
      <c r="G30" s="37"/>
      <c r="H30" s="43" t="s">
        <v>140</v>
      </c>
      <c r="I30" s="27"/>
      <c r="J30" s="28"/>
      <c r="K30" s="36">
        <v>43555.0</v>
      </c>
      <c r="L30" s="3">
        <f>2+2.25</f>
        <v>4.25</v>
      </c>
      <c r="M30" s="7"/>
      <c r="N30" s="41"/>
      <c r="O30" s="42"/>
      <c r="Q30" s="7"/>
      <c r="S30" s="7"/>
      <c r="U30" s="7"/>
      <c r="W30" s="7"/>
    </row>
    <row r="31">
      <c r="A31" s="2"/>
      <c r="B31" s="35" t="s">
        <v>17</v>
      </c>
      <c r="C31" s="27"/>
      <c r="D31" s="28"/>
      <c r="E31" s="45"/>
      <c r="F31" s="6">
        <f>SUM(F6:F12)</f>
        <v>25</v>
      </c>
      <c r="G31" s="7"/>
      <c r="H31" s="35" t="s">
        <v>17</v>
      </c>
      <c r="I31" s="27"/>
      <c r="J31" s="28"/>
      <c r="K31" s="6"/>
      <c r="L31" s="6">
        <f>SUM(L6:L30)</f>
        <v>113.92</v>
      </c>
      <c r="M31" s="7"/>
      <c r="N31" s="41"/>
      <c r="O31" s="20"/>
      <c r="Q31" s="7"/>
      <c r="S31" s="7"/>
      <c r="U31" s="7"/>
      <c r="W31" s="7"/>
    </row>
    <row r="32" ht="9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7"/>
      <c r="N32" s="46"/>
      <c r="O32" s="47"/>
      <c r="Q32" s="7"/>
      <c r="S32" s="7"/>
      <c r="U32" s="7"/>
      <c r="W32" s="7"/>
    </row>
    <row r="33">
      <c r="A33" s="25"/>
      <c r="B33" s="26" t="s">
        <v>26</v>
      </c>
      <c r="C33" s="27"/>
      <c r="D33" s="27"/>
      <c r="E33" s="27"/>
      <c r="F33" s="28"/>
      <c r="G33" s="25"/>
      <c r="H33" s="26" t="s">
        <v>25</v>
      </c>
      <c r="I33" s="27"/>
      <c r="J33" s="27"/>
      <c r="K33" s="27"/>
      <c r="L33" s="28"/>
      <c r="M33" s="7"/>
      <c r="N33" s="46"/>
      <c r="O33" s="47"/>
      <c r="Q33" s="7"/>
      <c r="S33" s="7"/>
      <c r="U33" s="7"/>
      <c r="W33" s="7"/>
    </row>
    <row r="34">
      <c r="A34" s="25"/>
      <c r="B34" s="26" t="s">
        <v>33</v>
      </c>
      <c r="C34" s="27"/>
      <c r="D34" s="28"/>
      <c r="E34" s="30" t="s">
        <v>34</v>
      </c>
      <c r="F34" s="31" t="s">
        <v>35</v>
      </c>
      <c r="G34" s="32"/>
      <c r="H34" s="26" t="s">
        <v>33</v>
      </c>
      <c r="I34" s="27"/>
      <c r="J34" s="28"/>
      <c r="K34" s="30" t="s">
        <v>34</v>
      </c>
      <c r="L34" s="31" t="s">
        <v>35</v>
      </c>
      <c r="M34" s="7"/>
      <c r="O34" s="7"/>
      <c r="Q34" s="7"/>
      <c r="S34" s="7"/>
      <c r="U34" s="7"/>
      <c r="W34" s="7"/>
    </row>
    <row r="35">
      <c r="A35" s="2"/>
      <c r="B35" s="35" t="s">
        <v>141</v>
      </c>
      <c r="C35" s="27"/>
      <c r="D35" s="28"/>
      <c r="E35" s="36">
        <v>43528.0</v>
      </c>
      <c r="F35" s="3">
        <v>4.49</v>
      </c>
      <c r="G35" s="5"/>
      <c r="H35" s="35" t="s">
        <v>142</v>
      </c>
      <c r="I35" s="27"/>
      <c r="J35" s="28"/>
      <c r="K35" s="48">
        <v>43525.0</v>
      </c>
      <c r="L35" s="49">
        <v>3.5</v>
      </c>
      <c r="M35" s="7"/>
      <c r="O35" s="7"/>
      <c r="Q35" s="7"/>
      <c r="S35" s="7"/>
      <c r="U35" s="7"/>
      <c r="W35" s="7"/>
    </row>
    <row r="36">
      <c r="A36" s="50"/>
      <c r="B36" s="35" t="s">
        <v>61</v>
      </c>
      <c r="C36" s="27"/>
      <c r="D36" s="28"/>
      <c r="E36" s="36">
        <v>43529.0</v>
      </c>
      <c r="F36" s="3">
        <v>70.0</v>
      </c>
      <c r="G36" s="7"/>
      <c r="H36" s="35" t="s">
        <v>143</v>
      </c>
      <c r="I36" s="27"/>
      <c r="J36" s="28"/>
      <c r="K36" s="36">
        <v>43527.0</v>
      </c>
      <c r="L36" s="49">
        <v>17.85</v>
      </c>
      <c r="M36" s="7"/>
      <c r="O36" s="7"/>
      <c r="Q36" s="7"/>
      <c r="S36" s="7"/>
      <c r="U36" s="7"/>
      <c r="W36" s="7"/>
    </row>
    <row r="37">
      <c r="A37" s="50"/>
      <c r="B37" s="35" t="s">
        <v>144</v>
      </c>
      <c r="C37" s="27"/>
      <c r="D37" s="28"/>
      <c r="E37" s="36">
        <v>43532.0</v>
      </c>
      <c r="F37" s="3">
        <v>200.0</v>
      </c>
      <c r="G37" s="7"/>
      <c r="H37" s="35" t="s">
        <v>58</v>
      </c>
      <c r="I37" s="27"/>
      <c r="J37" s="28"/>
      <c r="K37" s="36">
        <v>43528.0</v>
      </c>
      <c r="L37" s="49">
        <f>2.79*2</f>
        <v>5.58</v>
      </c>
      <c r="M37" s="7"/>
      <c r="O37" s="7"/>
      <c r="Q37" s="7"/>
      <c r="S37" s="7"/>
      <c r="U37" s="7"/>
      <c r="W37" s="7"/>
    </row>
    <row r="38">
      <c r="A38" s="50"/>
      <c r="B38" s="35" t="s">
        <v>61</v>
      </c>
      <c r="C38" s="27"/>
      <c r="D38" s="28"/>
      <c r="E38" s="36">
        <v>43534.0</v>
      </c>
      <c r="F38" s="3">
        <v>88.0</v>
      </c>
      <c r="G38" s="7"/>
      <c r="H38" s="35" t="s">
        <v>145</v>
      </c>
      <c r="I38" s="27"/>
      <c r="J38" s="28"/>
      <c r="K38" s="36">
        <v>43528.0</v>
      </c>
      <c r="L38" s="49">
        <f>6.19+3+5.99</f>
        <v>15.18</v>
      </c>
      <c r="M38" s="7"/>
      <c r="O38" s="7"/>
      <c r="Q38" s="7"/>
      <c r="S38" s="7"/>
      <c r="U38" s="7"/>
      <c r="W38" s="7"/>
    </row>
    <row r="39">
      <c r="A39" s="50"/>
      <c r="B39" s="35" t="s">
        <v>81</v>
      </c>
      <c r="C39" s="27"/>
      <c r="D39" s="28"/>
      <c r="E39" s="36">
        <v>43541.0</v>
      </c>
      <c r="F39" s="3">
        <v>2.99</v>
      </c>
      <c r="G39" s="7"/>
      <c r="H39" s="35" t="s">
        <v>146</v>
      </c>
      <c r="I39" s="27"/>
      <c r="J39" s="28"/>
      <c r="K39" s="36">
        <v>43529.0</v>
      </c>
      <c r="L39" s="49">
        <v>2.5</v>
      </c>
      <c r="M39" s="7"/>
      <c r="O39" s="7"/>
      <c r="Q39" s="7"/>
      <c r="S39" s="7"/>
      <c r="U39" s="7"/>
      <c r="W39" s="7"/>
    </row>
    <row r="40">
      <c r="A40" s="50"/>
      <c r="B40" s="35" t="s">
        <v>61</v>
      </c>
      <c r="C40" s="27"/>
      <c r="D40" s="28"/>
      <c r="E40" s="36">
        <v>43541.0</v>
      </c>
      <c r="F40" s="3">
        <v>82.5</v>
      </c>
      <c r="G40" s="7"/>
      <c r="H40" s="35" t="s">
        <v>147</v>
      </c>
      <c r="I40" s="27"/>
      <c r="J40" s="28"/>
      <c r="K40" s="48">
        <v>43530.0</v>
      </c>
      <c r="L40" s="49">
        <v>6.28</v>
      </c>
      <c r="M40" s="7"/>
      <c r="O40" s="7"/>
      <c r="P40" s="2"/>
      <c r="Q40" s="7"/>
      <c r="S40" s="7"/>
      <c r="U40" s="7"/>
      <c r="W40" s="7"/>
    </row>
    <row r="41">
      <c r="A41" s="50"/>
      <c r="B41" s="35" t="s">
        <v>148</v>
      </c>
      <c r="C41" s="27"/>
      <c r="D41" s="28"/>
      <c r="E41" s="36">
        <v>43541.0</v>
      </c>
      <c r="F41" s="3">
        <v>120.0</v>
      </c>
      <c r="G41" s="7"/>
      <c r="H41" s="35" t="s">
        <v>56</v>
      </c>
      <c r="I41" s="27"/>
      <c r="J41" s="28"/>
      <c r="K41" s="48">
        <v>43534.0</v>
      </c>
      <c r="L41" s="49">
        <v>21.9</v>
      </c>
      <c r="M41" s="7"/>
      <c r="O41" s="7"/>
      <c r="Q41" s="7"/>
      <c r="S41" s="7"/>
      <c r="U41" s="7"/>
      <c r="W41" s="7"/>
    </row>
    <row r="42">
      <c r="A42" s="50"/>
      <c r="B42" s="35" t="s">
        <v>149</v>
      </c>
      <c r="C42" s="27"/>
      <c r="D42" s="28"/>
      <c r="E42" s="36">
        <v>43544.0</v>
      </c>
      <c r="F42" s="3">
        <v>20.0</v>
      </c>
      <c r="G42" s="7"/>
      <c r="H42" s="35" t="s">
        <v>150</v>
      </c>
      <c r="I42" s="27"/>
      <c r="J42" s="28"/>
      <c r="K42" s="36">
        <v>43534.0</v>
      </c>
      <c r="L42" s="51">
        <f>19.44+1.2</f>
        <v>20.64</v>
      </c>
      <c r="M42" s="7"/>
      <c r="O42" s="7"/>
      <c r="Q42" s="7"/>
      <c r="S42" s="7"/>
      <c r="U42" s="7"/>
      <c r="W42" s="7"/>
    </row>
    <row r="43">
      <c r="A43" s="50"/>
      <c r="B43" s="35" t="s">
        <v>151</v>
      </c>
      <c r="C43" s="27"/>
      <c r="D43" s="28"/>
      <c r="E43" s="36">
        <v>43545.0</v>
      </c>
      <c r="F43" s="3">
        <v>20.0</v>
      </c>
      <c r="G43" s="7"/>
      <c r="H43" s="35" t="s">
        <v>58</v>
      </c>
      <c r="I43" s="27"/>
      <c r="J43" s="28"/>
      <c r="K43" s="36">
        <v>43539.0</v>
      </c>
      <c r="L43" s="49">
        <v>3.5</v>
      </c>
      <c r="M43" s="7"/>
      <c r="O43" s="7"/>
      <c r="Q43" s="7"/>
      <c r="S43" s="7"/>
      <c r="U43" s="7"/>
      <c r="W43" s="7"/>
    </row>
    <row r="44">
      <c r="A44" s="50"/>
      <c r="B44" s="35" t="s">
        <v>77</v>
      </c>
      <c r="C44" s="27"/>
      <c r="D44" s="28"/>
      <c r="E44" s="36">
        <v>43544.0</v>
      </c>
      <c r="F44" s="3">
        <f>69.9/3</f>
        <v>23.3</v>
      </c>
      <c r="G44" s="7"/>
      <c r="H44" s="35" t="s">
        <v>152</v>
      </c>
      <c r="I44" s="27"/>
      <c r="J44" s="28"/>
      <c r="K44" s="36">
        <v>43540.0</v>
      </c>
      <c r="L44" s="49">
        <v>14.99</v>
      </c>
      <c r="M44" s="7"/>
      <c r="O44" s="7"/>
      <c r="Q44" s="7"/>
      <c r="S44" s="7"/>
      <c r="U44" s="7"/>
      <c r="W44" s="7"/>
    </row>
    <row r="45">
      <c r="A45" s="50"/>
      <c r="B45" s="35" t="s">
        <v>153</v>
      </c>
      <c r="C45" s="27"/>
      <c r="D45" s="28"/>
      <c r="E45" s="36">
        <v>43545.0</v>
      </c>
      <c r="F45" s="3">
        <f>1.5+2</f>
        <v>3.5</v>
      </c>
      <c r="G45" s="7"/>
      <c r="H45" s="35" t="s">
        <v>154</v>
      </c>
      <c r="I45" s="27"/>
      <c r="J45" s="28"/>
      <c r="K45" s="36">
        <v>43541.0</v>
      </c>
      <c r="L45" s="51">
        <f>8.19+2.79</f>
        <v>10.98</v>
      </c>
      <c r="M45" s="7"/>
      <c r="O45" s="7"/>
      <c r="Q45" s="7"/>
      <c r="S45" s="7"/>
      <c r="U45" s="7"/>
      <c r="W45" s="7"/>
    </row>
    <row r="46">
      <c r="A46" s="50"/>
      <c r="B46" s="35"/>
      <c r="C46" s="27"/>
      <c r="D46" s="28"/>
      <c r="E46" s="36"/>
      <c r="F46" s="3"/>
      <c r="G46" s="7"/>
      <c r="H46" s="35" t="s">
        <v>155</v>
      </c>
      <c r="I46" s="27"/>
      <c r="J46" s="28"/>
      <c r="K46" s="36">
        <v>43547.0</v>
      </c>
      <c r="L46" s="49">
        <v>2.0</v>
      </c>
      <c r="M46" s="7"/>
      <c r="O46" s="7"/>
      <c r="Q46" s="7"/>
      <c r="S46" s="7"/>
      <c r="U46" s="7"/>
      <c r="W46" s="7"/>
    </row>
    <row r="47">
      <c r="A47" s="50"/>
      <c r="B47" s="35" t="s">
        <v>156</v>
      </c>
      <c r="C47" s="27"/>
      <c r="D47" s="28"/>
      <c r="E47" s="36">
        <v>43545.0</v>
      </c>
      <c r="F47" s="3">
        <v>357.76</v>
      </c>
      <c r="G47" s="7"/>
      <c r="H47" s="35" t="s">
        <v>58</v>
      </c>
      <c r="I47" s="27"/>
      <c r="J47" s="28"/>
      <c r="K47" s="36">
        <v>43548.0</v>
      </c>
      <c r="L47" s="49">
        <v>4.0</v>
      </c>
      <c r="M47" s="7"/>
      <c r="O47" s="7"/>
      <c r="Q47" s="7"/>
      <c r="S47" s="7"/>
      <c r="U47" s="7"/>
      <c r="W47" s="7"/>
    </row>
    <row r="48">
      <c r="A48" s="50"/>
      <c r="B48" s="35" t="s">
        <v>157</v>
      </c>
      <c r="C48" s="27"/>
      <c r="D48" s="28"/>
      <c r="E48" s="36">
        <v>43548.0</v>
      </c>
      <c r="F48" s="3">
        <v>1.5</v>
      </c>
      <c r="G48" s="7"/>
      <c r="H48" s="35" t="s">
        <v>158</v>
      </c>
      <c r="I48" s="27"/>
      <c r="J48" s="28"/>
      <c r="K48" s="36">
        <v>43548.0</v>
      </c>
      <c r="L48" s="49">
        <v>13.0</v>
      </c>
      <c r="M48" s="7"/>
      <c r="O48" s="7"/>
      <c r="Q48" s="7"/>
      <c r="S48" s="7"/>
      <c r="U48" s="7"/>
      <c r="W48" s="7"/>
    </row>
    <row r="49">
      <c r="A49" s="50"/>
      <c r="B49" s="35" t="s">
        <v>159</v>
      </c>
      <c r="C49" s="27"/>
      <c r="D49" s="28"/>
      <c r="E49" s="36">
        <v>43553.0</v>
      </c>
      <c r="F49" s="3">
        <v>20.0</v>
      </c>
      <c r="G49" s="7"/>
      <c r="H49" s="35" t="s">
        <v>58</v>
      </c>
      <c r="I49" s="27"/>
      <c r="J49" s="28"/>
      <c r="K49" s="36">
        <v>43549.0</v>
      </c>
      <c r="L49" s="49">
        <v>3.0</v>
      </c>
      <c r="M49" s="7"/>
      <c r="O49" s="7"/>
      <c r="Q49" s="7"/>
      <c r="S49" s="7"/>
      <c r="U49" s="7"/>
      <c r="W49" s="7"/>
    </row>
    <row r="50">
      <c r="A50" s="50"/>
      <c r="B50" s="35" t="s">
        <v>160</v>
      </c>
      <c r="C50" s="27"/>
      <c r="D50" s="28"/>
      <c r="E50" s="36">
        <v>43554.0</v>
      </c>
      <c r="F50" s="3">
        <v>60.0</v>
      </c>
      <c r="G50" s="7"/>
      <c r="H50" s="35" t="s">
        <v>161</v>
      </c>
      <c r="I50" s="27"/>
      <c r="J50" s="28"/>
      <c r="K50" s="36">
        <v>43550.0</v>
      </c>
      <c r="L50" s="49">
        <v>5.0</v>
      </c>
      <c r="M50" s="7"/>
      <c r="O50" s="7"/>
      <c r="Q50" s="7"/>
      <c r="S50" s="7"/>
      <c r="U50" s="7"/>
      <c r="W50" s="7"/>
    </row>
    <row r="51">
      <c r="A51" s="50"/>
      <c r="B51" s="52"/>
      <c r="C51" s="27"/>
      <c r="D51" s="28"/>
      <c r="E51" s="36"/>
      <c r="F51" s="3"/>
      <c r="G51" s="7"/>
      <c r="H51" s="35" t="s">
        <v>58</v>
      </c>
      <c r="I51" s="27"/>
      <c r="J51" s="28"/>
      <c r="K51" s="36">
        <v>43552.0</v>
      </c>
      <c r="L51" s="49">
        <v>3.5</v>
      </c>
      <c r="M51" s="7"/>
      <c r="O51" s="7"/>
      <c r="Q51" s="7"/>
      <c r="S51" s="7"/>
      <c r="U51" s="7"/>
      <c r="W51" s="7"/>
    </row>
    <row r="52">
      <c r="A52" s="50"/>
      <c r="B52" s="52"/>
      <c r="C52" s="27"/>
      <c r="D52" s="28"/>
      <c r="E52" s="36"/>
      <c r="F52" s="3"/>
      <c r="G52" s="7"/>
      <c r="H52" s="35" t="s">
        <v>162</v>
      </c>
      <c r="I52" s="27"/>
      <c r="J52" s="28"/>
      <c r="K52" s="36">
        <v>43552.0</v>
      </c>
      <c r="L52" s="49">
        <v>5.0</v>
      </c>
      <c r="M52" s="7"/>
      <c r="O52" s="7"/>
      <c r="Q52" s="7"/>
      <c r="S52" s="7"/>
      <c r="U52" s="7"/>
      <c r="W52" s="7"/>
    </row>
    <row r="53">
      <c r="A53" s="50"/>
      <c r="B53" s="45"/>
      <c r="C53" s="45"/>
      <c r="D53" s="45"/>
      <c r="E53" s="36"/>
      <c r="F53" s="3"/>
      <c r="G53" s="7"/>
      <c r="H53" s="35" t="s">
        <v>73</v>
      </c>
      <c r="I53" s="27"/>
      <c r="J53" s="28"/>
      <c r="K53" s="36">
        <v>43555.0</v>
      </c>
      <c r="L53" s="49">
        <v>21.0</v>
      </c>
      <c r="M53" s="7"/>
      <c r="O53" s="7"/>
      <c r="Q53" s="7"/>
      <c r="S53" s="7"/>
      <c r="U53" s="7"/>
      <c r="W53" s="7"/>
    </row>
    <row r="54">
      <c r="A54" s="2"/>
      <c r="B54" s="35" t="s">
        <v>17</v>
      </c>
      <c r="C54" s="27"/>
      <c r="D54" s="28"/>
      <c r="E54" s="45"/>
      <c r="F54" s="6">
        <f>SUM(F35:F52)</f>
        <v>1074.04</v>
      </c>
      <c r="G54" s="7"/>
      <c r="H54" s="52"/>
      <c r="I54" s="27"/>
      <c r="J54" s="28"/>
      <c r="K54" s="6"/>
      <c r="L54" s="6">
        <f>SUM(L35:L53)</f>
        <v>179.4</v>
      </c>
      <c r="M54" s="7"/>
      <c r="O54" s="7"/>
      <c r="Q54" s="7"/>
      <c r="S54" s="7"/>
      <c r="U54" s="7"/>
      <c r="W54" s="7"/>
    </row>
    <row r="55">
      <c r="A55" s="50"/>
      <c r="B55" s="50"/>
      <c r="C55" s="7"/>
      <c r="F55" s="7"/>
      <c r="G55" s="7"/>
      <c r="I55" s="7"/>
      <c r="K55" s="7"/>
      <c r="L55" s="7"/>
      <c r="M55" s="7"/>
      <c r="O55" s="7"/>
      <c r="Q55" s="7"/>
      <c r="S55" s="7"/>
      <c r="U55" s="7"/>
      <c r="W55" s="7"/>
    </row>
    <row r="56">
      <c r="A56" s="25"/>
      <c r="B56" s="26" t="s">
        <v>24</v>
      </c>
      <c r="C56" s="27"/>
      <c r="D56" s="27"/>
      <c r="E56" s="27"/>
      <c r="F56" s="28"/>
      <c r="G56" s="7"/>
      <c r="H56" s="26" t="s">
        <v>19</v>
      </c>
      <c r="I56" s="27"/>
      <c r="J56" s="27"/>
      <c r="K56" s="27"/>
      <c r="L56" s="28"/>
      <c r="M56" s="7"/>
      <c r="O56" s="7"/>
      <c r="Q56" s="7"/>
      <c r="S56" s="7"/>
      <c r="U56" s="7"/>
      <c r="W56" s="7"/>
    </row>
    <row r="57">
      <c r="A57" s="25"/>
      <c r="B57" s="26" t="s">
        <v>33</v>
      </c>
      <c r="C57" s="27"/>
      <c r="D57" s="28"/>
      <c r="E57" s="30" t="s">
        <v>34</v>
      </c>
      <c r="F57" s="31" t="s">
        <v>35</v>
      </c>
      <c r="G57" s="7"/>
      <c r="H57" s="26" t="s">
        <v>33</v>
      </c>
      <c r="I57" s="27"/>
      <c r="J57" s="28"/>
      <c r="K57" s="30" t="s">
        <v>34</v>
      </c>
      <c r="L57" s="31" t="s">
        <v>35</v>
      </c>
      <c r="M57" s="7"/>
      <c r="O57" s="7"/>
      <c r="Q57" s="7"/>
      <c r="S57" s="7"/>
      <c r="U57" s="7"/>
      <c r="W57" s="7"/>
    </row>
    <row r="58">
      <c r="A58" s="2"/>
      <c r="B58" s="35" t="s">
        <v>82</v>
      </c>
      <c r="C58" s="27"/>
      <c r="D58" s="28"/>
      <c r="E58" s="36">
        <v>43530.0</v>
      </c>
      <c r="F58" s="3">
        <v>20.0</v>
      </c>
      <c r="G58" s="7"/>
      <c r="H58" s="35" t="s">
        <v>163</v>
      </c>
      <c r="I58" s="27"/>
      <c r="J58" s="28"/>
      <c r="K58" s="36">
        <v>43538.0</v>
      </c>
      <c r="L58" s="3">
        <v>50.0</v>
      </c>
      <c r="M58" s="7"/>
      <c r="O58" s="7"/>
      <c r="Q58" s="7"/>
      <c r="S58" s="7"/>
      <c r="U58" s="7"/>
      <c r="W58" s="7"/>
    </row>
    <row r="59">
      <c r="A59" s="50"/>
      <c r="B59" s="35"/>
      <c r="C59" s="27"/>
      <c r="D59" s="28"/>
      <c r="E59" s="36"/>
      <c r="F59" s="3"/>
      <c r="G59" s="7"/>
      <c r="H59" s="35"/>
      <c r="I59" s="27"/>
      <c r="J59" s="28"/>
      <c r="K59" s="36"/>
      <c r="L59" s="3"/>
      <c r="M59" s="7"/>
      <c r="O59" s="7"/>
      <c r="Q59" s="7"/>
      <c r="S59" s="7"/>
      <c r="U59" s="7"/>
      <c r="W59" s="7"/>
    </row>
    <row r="60">
      <c r="A60" s="50"/>
      <c r="B60" s="53"/>
      <c r="C60" s="27"/>
      <c r="D60" s="28"/>
      <c r="E60" s="45"/>
      <c r="F60" s="6"/>
      <c r="G60" s="7"/>
      <c r="H60" s="35"/>
      <c r="I60" s="27"/>
      <c r="J60" s="28"/>
      <c r="K60" s="36"/>
      <c r="L60" s="3"/>
      <c r="M60" s="7"/>
      <c r="O60" s="7"/>
      <c r="Q60" s="7"/>
      <c r="S60" s="7"/>
      <c r="U60" s="7"/>
      <c r="W60" s="7"/>
    </row>
    <row r="61">
      <c r="A61" s="50"/>
      <c r="B61" s="53"/>
      <c r="C61" s="27"/>
      <c r="D61" s="28"/>
      <c r="E61" s="45"/>
      <c r="F61" s="6"/>
      <c r="G61" s="7"/>
      <c r="H61" s="35"/>
      <c r="I61" s="27"/>
      <c r="J61" s="28"/>
      <c r="K61" s="36"/>
      <c r="L61" s="3"/>
      <c r="M61" s="7"/>
      <c r="O61" s="7"/>
      <c r="Q61" s="7"/>
      <c r="S61" s="7"/>
      <c r="U61" s="7"/>
      <c r="W61" s="7"/>
    </row>
    <row r="62">
      <c r="A62" s="50"/>
      <c r="B62" s="53"/>
      <c r="C62" s="27"/>
      <c r="D62" s="28"/>
      <c r="E62" s="45"/>
      <c r="F62" s="6"/>
      <c r="G62" s="7"/>
      <c r="H62" s="53"/>
      <c r="I62" s="27"/>
      <c r="J62" s="28"/>
      <c r="K62" s="45"/>
      <c r="L62" s="6"/>
      <c r="M62" s="7"/>
      <c r="O62" s="7"/>
      <c r="Q62" s="7"/>
      <c r="S62" s="7"/>
      <c r="U62" s="7"/>
      <c r="W62" s="7"/>
    </row>
    <row r="63">
      <c r="A63" s="50"/>
      <c r="B63" s="53"/>
      <c r="C63" s="27"/>
      <c r="D63" s="28"/>
      <c r="E63" s="45"/>
      <c r="F63" s="6"/>
      <c r="G63" s="7"/>
      <c r="H63" s="53"/>
      <c r="I63" s="27"/>
      <c r="J63" s="28"/>
      <c r="K63" s="45"/>
      <c r="L63" s="6"/>
      <c r="M63" s="7"/>
      <c r="O63" s="7"/>
      <c r="Q63" s="7"/>
      <c r="S63" s="7"/>
      <c r="U63" s="7"/>
      <c r="W63" s="7"/>
    </row>
    <row r="64">
      <c r="A64" s="50"/>
      <c r="B64" s="53"/>
      <c r="C64" s="27"/>
      <c r="D64" s="28"/>
      <c r="E64" s="45"/>
      <c r="F64" s="6"/>
      <c r="G64" s="7"/>
      <c r="H64" s="53"/>
      <c r="I64" s="27"/>
      <c r="J64" s="28"/>
      <c r="K64" s="45"/>
      <c r="L64" s="6"/>
      <c r="M64" s="7"/>
      <c r="O64" s="7"/>
      <c r="Q64" s="7"/>
      <c r="S64" s="7"/>
      <c r="U64" s="7"/>
      <c r="W64" s="7"/>
    </row>
    <row r="65">
      <c r="A65" s="2"/>
      <c r="B65" s="35" t="s">
        <v>17</v>
      </c>
      <c r="C65" s="27"/>
      <c r="D65" s="28"/>
      <c r="E65" s="45"/>
      <c r="F65" s="6">
        <f>SUM(F58:F64)</f>
        <v>20</v>
      </c>
      <c r="G65" s="7"/>
      <c r="H65" s="35" t="s">
        <v>17</v>
      </c>
      <c r="I65" s="27"/>
      <c r="J65" s="28"/>
      <c r="K65" s="45"/>
      <c r="L65" s="6">
        <f>SUM(L58:L64)</f>
        <v>50</v>
      </c>
      <c r="M65" s="7"/>
      <c r="O65" s="7"/>
      <c r="Q65" s="7"/>
      <c r="S65" s="7"/>
      <c r="U65" s="7"/>
      <c r="W65" s="7"/>
    </row>
    <row r="66">
      <c r="F66" s="7"/>
      <c r="G66" s="7"/>
      <c r="I66" s="7"/>
      <c r="K66" s="7"/>
      <c r="L66" s="7"/>
      <c r="M66" s="7"/>
      <c r="O66" s="7"/>
      <c r="Q66" s="7"/>
      <c r="S66" s="7"/>
      <c r="U66" s="7"/>
      <c r="W66" s="7"/>
    </row>
    <row r="67">
      <c r="A67" s="25"/>
      <c r="B67" s="26" t="s">
        <v>21</v>
      </c>
      <c r="C67" s="27"/>
      <c r="D67" s="27"/>
      <c r="E67" s="27"/>
      <c r="F67" s="28"/>
      <c r="G67" s="7"/>
      <c r="H67" s="26" t="s">
        <v>20</v>
      </c>
      <c r="I67" s="27"/>
      <c r="J67" s="27"/>
      <c r="K67" s="27"/>
      <c r="L67" s="28"/>
      <c r="M67" s="7"/>
      <c r="O67" s="7"/>
      <c r="Q67" s="7"/>
      <c r="S67" s="7"/>
      <c r="U67" s="7"/>
      <c r="W67" s="7"/>
    </row>
    <row r="68">
      <c r="A68" s="25"/>
      <c r="B68" s="26" t="s">
        <v>33</v>
      </c>
      <c r="C68" s="27"/>
      <c r="D68" s="28"/>
      <c r="E68" s="30" t="s">
        <v>34</v>
      </c>
      <c r="F68" s="31" t="s">
        <v>35</v>
      </c>
      <c r="G68" s="7"/>
      <c r="H68" s="26" t="s">
        <v>33</v>
      </c>
      <c r="I68" s="27"/>
      <c r="J68" s="28"/>
      <c r="K68" s="30" t="s">
        <v>34</v>
      </c>
      <c r="L68" s="31" t="s">
        <v>35</v>
      </c>
      <c r="M68" s="7"/>
      <c r="O68" s="7"/>
      <c r="Q68" s="7"/>
      <c r="S68" s="7"/>
      <c r="U68" s="7"/>
      <c r="W68" s="7"/>
    </row>
    <row r="69">
      <c r="A69" s="2"/>
      <c r="B69" s="35" t="s">
        <v>164</v>
      </c>
      <c r="C69" s="27"/>
      <c r="D69" s="28"/>
      <c r="E69" s="36">
        <v>43535.0</v>
      </c>
      <c r="F69" s="3">
        <f>24.4/3</f>
        <v>8.133333333</v>
      </c>
      <c r="G69" s="7"/>
      <c r="H69" s="35" t="s">
        <v>125</v>
      </c>
      <c r="I69" s="27"/>
      <c r="J69" s="28"/>
      <c r="K69" s="36">
        <v>43535.0</v>
      </c>
      <c r="L69" s="3">
        <f>147.92/3</f>
        <v>49.30666667</v>
      </c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45"/>
      <c r="F70" s="6"/>
      <c r="G70" s="7"/>
      <c r="H70" s="53"/>
      <c r="I70" s="27"/>
      <c r="J70" s="28"/>
      <c r="K70" s="45"/>
      <c r="L70" s="6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53"/>
      <c r="I71" s="27"/>
      <c r="J71" s="28"/>
      <c r="K71" s="45"/>
      <c r="L71" s="6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53"/>
      <c r="I72" s="27"/>
      <c r="J72" s="28"/>
      <c r="K72" s="45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45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45"/>
      <c r="L74" s="6"/>
      <c r="M74" s="7"/>
      <c r="O74" s="7"/>
      <c r="Q74" s="7"/>
      <c r="S74" s="7"/>
      <c r="U74" s="7"/>
      <c r="W74" s="7"/>
    </row>
    <row r="75">
      <c r="A75" s="50"/>
      <c r="B75" s="53"/>
      <c r="C75" s="27"/>
      <c r="D75" s="28"/>
      <c r="E75" s="45"/>
      <c r="F75" s="6"/>
      <c r="G75" s="7"/>
      <c r="H75" s="53"/>
      <c r="I75" s="27"/>
      <c r="J75" s="28"/>
      <c r="K75" s="45"/>
      <c r="L75" s="6"/>
      <c r="M75" s="7"/>
      <c r="O75" s="7"/>
      <c r="Q75" s="7"/>
      <c r="S75" s="7"/>
      <c r="U75" s="7"/>
      <c r="W75" s="7"/>
    </row>
    <row r="76">
      <c r="A76" s="2"/>
      <c r="B76" s="35" t="s">
        <v>17</v>
      </c>
      <c r="C76" s="27"/>
      <c r="D76" s="28"/>
      <c r="E76" s="45"/>
      <c r="F76" s="6">
        <f>SUM(F69:F75)</f>
        <v>8.133333333</v>
      </c>
      <c r="G76" s="7"/>
      <c r="H76" s="35" t="s">
        <v>17</v>
      </c>
      <c r="I76" s="27"/>
      <c r="J76" s="28"/>
      <c r="K76" s="45"/>
      <c r="L76" s="6">
        <f>SUM(L69:L75)</f>
        <v>49.30666667</v>
      </c>
      <c r="M76" s="7"/>
      <c r="O76" s="7"/>
      <c r="Q76" s="7"/>
      <c r="S76" s="7"/>
      <c r="U76" s="7"/>
      <c r="W76" s="7"/>
    </row>
    <row r="77">
      <c r="F77" s="7"/>
      <c r="G77" s="7"/>
      <c r="I77" s="7"/>
      <c r="K77" s="7"/>
      <c r="L77" s="7"/>
      <c r="M77" s="7"/>
      <c r="O77" s="7"/>
      <c r="Q77" s="7"/>
      <c r="S77" s="7"/>
      <c r="U77" s="7"/>
      <c r="W77" s="7"/>
    </row>
    <row r="78">
      <c r="A78" s="25"/>
      <c r="B78" s="26" t="s">
        <v>22</v>
      </c>
      <c r="C78" s="27"/>
      <c r="D78" s="27"/>
      <c r="E78" s="27"/>
      <c r="F78" s="28"/>
      <c r="G78" s="7"/>
      <c r="H78" s="26" t="s">
        <v>83</v>
      </c>
      <c r="I78" s="27"/>
      <c r="J78" s="27"/>
      <c r="K78" s="27"/>
      <c r="L78" s="28"/>
      <c r="M78" s="7"/>
      <c r="O78" s="7"/>
      <c r="Q78" s="7"/>
      <c r="S78" s="7"/>
      <c r="U78" s="7"/>
      <c r="W78" s="7"/>
    </row>
    <row r="79">
      <c r="A79" s="25"/>
      <c r="B79" s="26" t="s">
        <v>33</v>
      </c>
      <c r="C79" s="27"/>
      <c r="D79" s="28"/>
      <c r="E79" s="30" t="s">
        <v>34</v>
      </c>
      <c r="F79" s="31" t="s">
        <v>35</v>
      </c>
      <c r="G79" s="7"/>
      <c r="H79" s="26" t="s">
        <v>33</v>
      </c>
      <c r="I79" s="27"/>
      <c r="J79" s="28"/>
      <c r="K79" s="30" t="s">
        <v>34</v>
      </c>
      <c r="L79" s="31" t="s">
        <v>35</v>
      </c>
      <c r="M79" s="7"/>
      <c r="O79" s="7"/>
      <c r="Q79" s="7"/>
      <c r="S79" s="7"/>
      <c r="U79" s="7"/>
      <c r="W79" s="7"/>
    </row>
    <row r="80">
      <c r="A80" s="2"/>
      <c r="B80" s="35"/>
      <c r="C80" s="27"/>
      <c r="D80" s="28"/>
      <c r="E80" s="36"/>
      <c r="F80" s="3"/>
      <c r="G80" s="7"/>
      <c r="H80" s="35"/>
      <c r="I80" s="27"/>
      <c r="J80" s="28"/>
      <c r="K80" s="36"/>
      <c r="L80" s="3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45"/>
      <c r="F81" s="6"/>
      <c r="G81" s="7"/>
      <c r="H81" s="53"/>
      <c r="I81" s="27"/>
      <c r="J81" s="28"/>
      <c r="K81" s="45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45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45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45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45"/>
      <c r="F85" s="6"/>
      <c r="G85" s="7"/>
      <c r="H85" s="53"/>
      <c r="I85" s="27"/>
      <c r="J85" s="28"/>
      <c r="K85" s="45"/>
      <c r="L85" s="6"/>
      <c r="M85" s="7"/>
      <c r="O85" s="7"/>
      <c r="Q85" s="7"/>
      <c r="S85" s="7"/>
      <c r="U85" s="7"/>
      <c r="W85" s="7"/>
    </row>
    <row r="86">
      <c r="A86" s="50"/>
      <c r="B86" s="53"/>
      <c r="C86" s="27"/>
      <c r="D86" s="28"/>
      <c r="E86" s="45"/>
      <c r="F86" s="6"/>
      <c r="G86" s="7"/>
      <c r="H86" s="53"/>
      <c r="I86" s="27"/>
      <c r="J86" s="28"/>
      <c r="K86" s="45"/>
      <c r="L86" s="6"/>
      <c r="M86" s="7"/>
      <c r="O86" s="7"/>
      <c r="Q86" s="7"/>
      <c r="S86" s="7"/>
      <c r="U86" s="7"/>
      <c r="W86" s="7"/>
    </row>
    <row r="87">
      <c r="A87" s="2"/>
      <c r="B87" s="35" t="s">
        <v>17</v>
      </c>
      <c r="C87" s="27"/>
      <c r="D87" s="28"/>
      <c r="E87" s="45"/>
      <c r="F87" s="6">
        <f>SUM(F80:F86)</f>
        <v>0</v>
      </c>
      <c r="G87" s="7"/>
      <c r="H87" s="35" t="s">
        <v>17</v>
      </c>
      <c r="I87" s="27"/>
      <c r="J87" s="28"/>
      <c r="K87" s="45"/>
      <c r="L87" s="6">
        <f>SUM(L80:L86)</f>
        <v>0</v>
      </c>
      <c r="M87" s="7"/>
      <c r="O87" s="7"/>
      <c r="Q87" s="7"/>
      <c r="S87" s="7"/>
      <c r="U87" s="7"/>
      <c r="W87" s="7"/>
    </row>
    <row r="88">
      <c r="F88" s="7"/>
      <c r="G88" s="7"/>
      <c r="I88" s="7"/>
      <c r="K88" s="7"/>
      <c r="L88" s="7"/>
      <c r="M88" s="7"/>
      <c r="O88" s="7"/>
      <c r="Q88" s="7"/>
      <c r="S88" s="7"/>
      <c r="U88" s="7"/>
      <c r="W88" s="7"/>
    </row>
    <row r="89">
      <c r="B89" s="26" t="s">
        <v>28</v>
      </c>
      <c r="C89" s="27"/>
      <c r="D89" s="27"/>
      <c r="E89" s="27"/>
      <c r="F89" s="28"/>
      <c r="G89" s="7"/>
      <c r="I89" s="7"/>
      <c r="K89" s="7"/>
      <c r="L89" s="7"/>
      <c r="M89" s="7"/>
      <c r="O89" s="7"/>
      <c r="Q89" s="7"/>
      <c r="S89" s="7"/>
      <c r="U89" s="7"/>
      <c r="W89" s="7"/>
    </row>
    <row r="90">
      <c r="B90" s="26" t="s">
        <v>33</v>
      </c>
      <c r="C90" s="27"/>
      <c r="D90" s="28"/>
      <c r="E90" s="30" t="s">
        <v>34</v>
      </c>
      <c r="F90" s="31" t="s">
        <v>35</v>
      </c>
      <c r="G90" s="7"/>
      <c r="I90" s="7"/>
      <c r="K90" s="7"/>
      <c r="L90" s="7"/>
      <c r="M90" s="7"/>
      <c r="O90" s="7"/>
      <c r="Q90" s="7"/>
      <c r="S90" s="7"/>
      <c r="U90" s="7"/>
      <c r="W90" s="7"/>
    </row>
    <row r="91">
      <c r="B91" s="35" t="s">
        <v>86</v>
      </c>
      <c r="C91" s="27"/>
      <c r="D91" s="28"/>
      <c r="E91" s="36">
        <v>43526.0</v>
      </c>
      <c r="F91" s="3">
        <v>42.55</v>
      </c>
      <c r="G91" s="7"/>
      <c r="I91" s="7"/>
      <c r="K91" s="7"/>
      <c r="L91" s="7"/>
      <c r="M91" s="7"/>
      <c r="O91" s="7"/>
      <c r="Q91" s="7"/>
      <c r="S91" s="7"/>
      <c r="U91" s="7"/>
      <c r="W91" s="7"/>
    </row>
    <row r="92">
      <c r="B92" s="35" t="s">
        <v>86</v>
      </c>
      <c r="C92" s="27"/>
      <c r="D92" s="28"/>
      <c r="E92" s="36">
        <v>43535.0</v>
      </c>
      <c r="F92" s="3">
        <v>40.67</v>
      </c>
      <c r="G92" s="7"/>
      <c r="I92" s="7"/>
      <c r="K92" s="7"/>
      <c r="L92" s="7"/>
      <c r="M92" s="7"/>
      <c r="O92" s="7"/>
      <c r="Q92" s="7"/>
      <c r="S92" s="7"/>
      <c r="U92" s="7"/>
      <c r="W92" s="7"/>
    </row>
    <row r="93">
      <c r="B93" s="35" t="s">
        <v>165</v>
      </c>
      <c r="C93" s="27"/>
      <c r="D93" s="28"/>
      <c r="E93" s="36">
        <v>43540.0</v>
      </c>
      <c r="F93" s="3">
        <v>72.0</v>
      </c>
      <c r="G93" s="7"/>
      <c r="I93" s="7"/>
      <c r="K93" s="7"/>
      <c r="L93" s="7"/>
      <c r="M93" s="7"/>
      <c r="O93" s="7"/>
      <c r="Q93" s="7"/>
      <c r="S93" s="7"/>
      <c r="U93" s="7"/>
      <c r="W93" s="7"/>
    </row>
    <row r="94">
      <c r="B94" s="35" t="s">
        <v>86</v>
      </c>
      <c r="C94" s="27"/>
      <c r="D94" s="28"/>
      <c r="E94" s="36">
        <v>43545.0</v>
      </c>
      <c r="F94" s="3">
        <v>20.0</v>
      </c>
      <c r="G94" s="7"/>
      <c r="I94" s="7"/>
      <c r="K94" s="7"/>
      <c r="L94" s="7"/>
      <c r="M94" s="7"/>
      <c r="O94" s="7"/>
      <c r="Q94" s="7"/>
      <c r="S94" s="7"/>
      <c r="U94" s="7"/>
      <c r="W94" s="7"/>
    </row>
    <row r="95">
      <c r="B95" s="35" t="s">
        <v>86</v>
      </c>
      <c r="C95" s="27"/>
      <c r="D95" s="28"/>
      <c r="E95" s="36">
        <v>43549.0</v>
      </c>
      <c r="F95" s="3">
        <v>20.0</v>
      </c>
      <c r="G95" s="7"/>
      <c r="I95" s="7"/>
      <c r="K95" s="7"/>
      <c r="L95" s="7"/>
      <c r="M95" s="7"/>
      <c r="O95" s="7"/>
      <c r="Q95" s="7"/>
      <c r="S95" s="7"/>
      <c r="U95" s="7"/>
      <c r="W95" s="7"/>
    </row>
    <row r="96">
      <c r="B96" s="53"/>
      <c r="C96" s="27"/>
      <c r="D96" s="28"/>
      <c r="E96" s="45"/>
      <c r="F96" s="6"/>
      <c r="G96" s="7"/>
      <c r="I96" s="7"/>
      <c r="K96" s="7"/>
      <c r="L96" s="7"/>
      <c r="M96" s="7"/>
      <c r="O96" s="7"/>
      <c r="Q96" s="7"/>
      <c r="S96" s="7"/>
      <c r="U96" s="7"/>
      <c r="W96" s="7"/>
    </row>
    <row r="97">
      <c r="B97" s="53"/>
      <c r="C97" s="27"/>
      <c r="D97" s="28"/>
      <c r="E97" s="45"/>
      <c r="F97" s="6"/>
      <c r="G97" s="7"/>
      <c r="I97" s="7"/>
      <c r="K97" s="7"/>
      <c r="L97" s="7"/>
      <c r="M97" s="7"/>
      <c r="O97" s="7"/>
      <c r="Q97" s="7"/>
      <c r="S97" s="7"/>
      <c r="U97" s="7"/>
      <c r="W97" s="7"/>
    </row>
    <row r="98">
      <c r="B98" s="35" t="s">
        <v>17</v>
      </c>
      <c r="C98" s="27"/>
      <c r="D98" s="28"/>
      <c r="E98" s="45"/>
      <c r="F98" s="6">
        <f>SUM(F91:F97)</f>
        <v>195.22</v>
      </c>
      <c r="G98" s="7"/>
      <c r="I98" s="7"/>
      <c r="K98" s="7"/>
      <c r="L98" s="7"/>
      <c r="M98" s="7"/>
      <c r="O98" s="7"/>
      <c r="Q98" s="7"/>
      <c r="S98" s="7"/>
      <c r="U98" s="7"/>
      <c r="W98" s="7"/>
    </row>
    <row r="99">
      <c r="F99" s="7"/>
      <c r="G99" s="7"/>
      <c r="I99" s="7"/>
      <c r="K99" s="7"/>
      <c r="L99" s="7"/>
      <c r="M99" s="7"/>
      <c r="O99" s="7"/>
      <c r="Q99" s="7"/>
      <c r="S99" s="7"/>
      <c r="U99" s="7"/>
      <c r="W99" s="7"/>
    </row>
    <row r="100">
      <c r="F100" s="7"/>
      <c r="G100" s="7"/>
      <c r="I100" s="7"/>
      <c r="K100" s="7"/>
      <c r="L100" s="7"/>
      <c r="M100" s="7"/>
      <c r="O100" s="7"/>
      <c r="Q100" s="7"/>
      <c r="S100" s="7"/>
      <c r="U100" s="7"/>
      <c r="W100" s="7"/>
    </row>
    <row r="101">
      <c r="F101" s="7"/>
      <c r="G101" s="7"/>
      <c r="I101" s="7"/>
      <c r="K101" s="7"/>
      <c r="L101" s="7"/>
      <c r="M101" s="7"/>
      <c r="O101" s="7"/>
      <c r="Q101" s="7"/>
      <c r="S101" s="7"/>
      <c r="U101" s="7"/>
      <c r="W101" s="7"/>
    </row>
    <row r="102">
      <c r="F102" s="7"/>
      <c r="G102" s="7"/>
      <c r="I102" s="7"/>
      <c r="K102" s="7"/>
      <c r="L102" s="7"/>
      <c r="M102" s="7"/>
      <c r="O102" s="7"/>
      <c r="Q102" s="7"/>
      <c r="S102" s="7"/>
      <c r="U102" s="7"/>
      <c r="W102" s="7"/>
    </row>
    <row r="103">
      <c r="F103" s="7"/>
      <c r="G103" s="7"/>
      <c r="I103" s="7"/>
      <c r="K103" s="7"/>
      <c r="L103" s="7"/>
      <c r="M103" s="7"/>
      <c r="O103" s="7"/>
      <c r="Q103" s="7"/>
      <c r="S103" s="7"/>
      <c r="U103" s="7"/>
      <c r="W103" s="7"/>
    </row>
    <row r="104">
      <c r="F104" s="7"/>
      <c r="G104" s="7"/>
      <c r="I104" s="7"/>
      <c r="K104" s="7"/>
      <c r="L104" s="7"/>
      <c r="M104" s="7"/>
      <c r="O104" s="7"/>
      <c r="Q104" s="7"/>
      <c r="S104" s="7"/>
      <c r="U104" s="7"/>
      <c r="W104" s="7"/>
    </row>
    <row r="105">
      <c r="F105" s="7"/>
      <c r="G105" s="7"/>
      <c r="I105" s="7"/>
      <c r="K105" s="7"/>
      <c r="L105" s="7"/>
      <c r="M105" s="7"/>
      <c r="O105" s="7"/>
      <c r="Q105" s="7"/>
      <c r="S105" s="7"/>
      <c r="U105" s="7"/>
      <c r="W105" s="7"/>
    </row>
    <row r="106">
      <c r="F106" s="7"/>
      <c r="G106" s="7"/>
      <c r="I106" s="7"/>
      <c r="K106" s="7"/>
      <c r="L106" s="7"/>
      <c r="M106" s="7"/>
      <c r="O106" s="7"/>
      <c r="Q106" s="7"/>
      <c r="S106" s="7"/>
      <c r="U106" s="7"/>
      <c r="W106" s="7"/>
    </row>
    <row r="107">
      <c r="F107" s="7"/>
      <c r="G107" s="7"/>
      <c r="I107" s="7"/>
      <c r="K107" s="7"/>
      <c r="L107" s="7"/>
      <c r="M107" s="7"/>
      <c r="O107" s="7"/>
      <c r="Q107" s="7"/>
      <c r="S107" s="7"/>
      <c r="U107" s="7"/>
      <c r="W107" s="7"/>
    </row>
    <row r="108">
      <c r="F108" s="7"/>
      <c r="G108" s="7"/>
      <c r="I108" s="7"/>
      <c r="K108" s="7"/>
      <c r="L108" s="7"/>
      <c r="M108" s="7"/>
      <c r="O108" s="7"/>
      <c r="Q108" s="7"/>
      <c r="S108" s="7"/>
      <c r="U108" s="7"/>
      <c r="W108" s="7"/>
    </row>
    <row r="109">
      <c r="F109" s="7"/>
      <c r="G109" s="7"/>
      <c r="I109" s="7"/>
      <c r="K109" s="7"/>
      <c r="L109" s="7"/>
      <c r="M109" s="7"/>
      <c r="O109" s="7"/>
      <c r="Q109" s="7"/>
      <c r="S109" s="7"/>
      <c r="U109" s="7"/>
      <c r="W109" s="7"/>
    </row>
    <row r="110">
      <c r="F110" s="7"/>
      <c r="G110" s="7"/>
      <c r="I110" s="7"/>
      <c r="K110" s="7"/>
      <c r="L110" s="7"/>
      <c r="M110" s="7"/>
      <c r="O110" s="7"/>
      <c r="Q110" s="7"/>
      <c r="S110" s="7"/>
      <c r="U110" s="7"/>
      <c r="W110" s="7"/>
    </row>
    <row r="111">
      <c r="F111" s="7"/>
      <c r="G111" s="7"/>
      <c r="I111" s="7"/>
      <c r="K111" s="7"/>
      <c r="L111" s="7"/>
      <c r="M111" s="7"/>
      <c r="O111" s="7"/>
      <c r="Q111" s="7"/>
      <c r="S111" s="7"/>
      <c r="U111" s="7"/>
      <c r="W111" s="7"/>
    </row>
    <row r="112">
      <c r="F112" s="7"/>
      <c r="G112" s="7"/>
      <c r="I112" s="7"/>
      <c r="K112" s="7"/>
      <c r="L112" s="7"/>
      <c r="M112" s="7"/>
      <c r="O112" s="7"/>
      <c r="Q112" s="7"/>
      <c r="S112" s="7"/>
      <c r="U112" s="7"/>
      <c r="W112" s="7"/>
    </row>
    <row r="113">
      <c r="F113" s="7"/>
      <c r="G113" s="7"/>
      <c r="I113" s="7"/>
      <c r="K113" s="7"/>
      <c r="L113" s="7"/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F115" s="7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F116" s="7"/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F117" s="7"/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F118" s="7"/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</sheetData>
  <mergeCells count="164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21:D21"/>
    <mergeCell ref="B22:D22"/>
    <mergeCell ref="B23:D23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B48:D48"/>
    <mergeCell ref="B49:D49"/>
    <mergeCell ref="B50:D50"/>
    <mergeCell ref="B51:D51"/>
    <mergeCell ref="B52:D52"/>
    <mergeCell ref="B54:D54"/>
    <mergeCell ref="B56:F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7:F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8:F78"/>
    <mergeCell ref="B79:D79"/>
    <mergeCell ref="B80:D80"/>
    <mergeCell ref="B81:D81"/>
    <mergeCell ref="B82:D82"/>
    <mergeCell ref="B83:D83"/>
    <mergeCell ref="B84:D84"/>
    <mergeCell ref="B85:D85"/>
    <mergeCell ref="B86:D86"/>
    <mergeCell ref="B95:D95"/>
    <mergeCell ref="B96:D96"/>
    <mergeCell ref="B97:D97"/>
    <mergeCell ref="B98:D98"/>
    <mergeCell ref="B87:D87"/>
    <mergeCell ref="B89:F89"/>
    <mergeCell ref="B90:D90"/>
    <mergeCell ref="B91:D91"/>
    <mergeCell ref="B92:D92"/>
    <mergeCell ref="B93:D93"/>
    <mergeCell ref="B94:D94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7:L67"/>
    <mergeCell ref="H68:J68"/>
    <mergeCell ref="H69:J69"/>
    <mergeCell ref="H70:J70"/>
    <mergeCell ref="H71:J71"/>
    <mergeCell ref="H80:J80"/>
    <mergeCell ref="H81:J81"/>
    <mergeCell ref="H82:J82"/>
    <mergeCell ref="H83:J83"/>
    <mergeCell ref="H84:J84"/>
    <mergeCell ref="H85:J85"/>
    <mergeCell ref="H86:J86"/>
    <mergeCell ref="H87:J87"/>
    <mergeCell ref="H72:J72"/>
    <mergeCell ref="H73:J73"/>
    <mergeCell ref="H74:J74"/>
    <mergeCell ref="H75:J75"/>
    <mergeCell ref="H76:J76"/>
    <mergeCell ref="H78:L78"/>
    <mergeCell ref="H79:J79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B31:D31"/>
    <mergeCell ref="H31:J31"/>
    <mergeCell ref="B33:F33"/>
    <mergeCell ref="H33:L33"/>
    <mergeCell ref="H34:J34"/>
    <mergeCell ref="B34:D34"/>
    <mergeCell ref="B35:D35"/>
    <mergeCell ref="B36:D36"/>
    <mergeCell ref="B37:D37"/>
    <mergeCell ref="B38:D38"/>
    <mergeCell ref="B39:D39"/>
    <mergeCell ref="B40:D40"/>
    <mergeCell ref="H35:J35"/>
    <mergeCell ref="H36:J36"/>
    <mergeCell ref="H37:J37"/>
    <mergeCell ref="H38:J38"/>
    <mergeCell ref="H39:J39"/>
    <mergeCell ref="H40:J40"/>
    <mergeCell ref="H41:J41"/>
    <mergeCell ref="B41:D41"/>
    <mergeCell ref="B42:D42"/>
    <mergeCell ref="B43:D43"/>
    <mergeCell ref="B44:D44"/>
    <mergeCell ref="B45:D45"/>
    <mergeCell ref="B46:D46"/>
    <mergeCell ref="B47:D47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6:L56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166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 t="s">
        <v>167</v>
      </c>
      <c r="C6" s="27"/>
      <c r="D6" s="28"/>
      <c r="E6" s="38">
        <v>43562.0</v>
      </c>
      <c r="F6" s="31">
        <v>7.0</v>
      </c>
      <c r="G6" s="32"/>
      <c r="H6" s="35" t="s">
        <v>39</v>
      </c>
      <c r="I6" s="27"/>
      <c r="J6" s="28"/>
      <c r="K6" s="36">
        <v>43558.0</v>
      </c>
      <c r="L6" s="3">
        <v>1.0</v>
      </c>
      <c r="M6" s="7"/>
      <c r="N6" s="2"/>
      <c r="O6" s="5"/>
      <c r="S6" s="7"/>
      <c r="U6" s="7"/>
    </row>
    <row r="7">
      <c r="A7" s="33"/>
      <c r="B7" s="35"/>
      <c r="C7" s="27"/>
      <c r="D7" s="28"/>
      <c r="E7" s="36"/>
      <c r="F7" s="31"/>
      <c r="G7" s="37"/>
      <c r="H7" s="35" t="s">
        <v>168</v>
      </c>
      <c r="I7" s="27"/>
      <c r="J7" s="28"/>
      <c r="K7" s="36">
        <v>43558.0</v>
      </c>
      <c r="L7" s="3">
        <v>2.58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39</v>
      </c>
      <c r="I8" s="27"/>
      <c r="J8" s="28"/>
      <c r="K8" s="36">
        <v>43559.0</v>
      </c>
      <c r="L8" s="3">
        <v>1.0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39</v>
      </c>
      <c r="I9" s="27"/>
      <c r="J9" s="28"/>
      <c r="K9" s="36">
        <v>43560.0</v>
      </c>
      <c r="L9" s="3">
        <v>1.0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43</v>
      </c>
      <c r="I10" s="27"/>
      <c r="J10" s="28"/>
      <c r="K10" s="36">
        <v>43562.0</v>
      </c>
      <c r="L10" s="3">
        <v>34.44</v>
      </c>
      <c r="M10" s="7">
        <f>L6+L8+L9+L11+L12+L13+L14+L15+L16+L17+L18+L19+L20+L21+L22</f>
        <v>62.9</v>
      </c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39</v>
      </c>
      <c r="I11" s="27"/>
      <c r="J11" s="28"/>
      <c r="K11" s="36">
        <v>43564.0</v>
      </c>
      <c r="L11" s="3">
        <v>1.0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36">
        <v>43565.0</v>
      </c>
      <c r="L12" s="3">
        <v>1.0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169</v>
      </c>
      <c r="I13" s="27"/>
      <c r="J13" s="28"/>
      <c r="K13" s="36">
        <v>43565.0</v>
      </c>
      <c r="L13" s="3">
        <f>3.5+0.4</f>
        <v>3.9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170</v>
      </c>
      <c r="I14" s="27"/>
      <c r="J14" s="28"/>
      <c r="K14" s="36">
        <v>43566.0</v>
      </c>
      <c r="L14" s="3">
        <f>4+2+1.5</f>
        <v>7.5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171</v>
      </c>
      <c r="I15" s="27"/>
      <c r="J15" s="28"/>
      <c r="K15" s="36">
        <v>43566.0</v>
      </c>
      <c r="L15" s="3">
        <v>10.0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43571.0</v>
      </c>
      <c r="L16" s="3">
        <v>1.0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172</v>
      </c>
      <c r="I17" s="27"/>
      <c r="J17" s="28"/>
      <c r="K17" s="36">
        <v>43579.0</v>
      </c>
      <c r="L17" s="3">
        <v>2.0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36">
        <v>43580.0</v>
      </c>
      <c r="L18" s="3">
        <v>1.0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173</v>
      </c>
      <c r="I19" s="27"/>
      <c r="J19" s="28"/>
      <c r="K19" s="36">
        <v>43580.0</v>
      </c>
      <c r="L19" s="3">
        <v>14.0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56</v>
      </c>
      <c r="I20" s="27"/>
      <c r="J20" s="28"/>
      <c r="K20" s="36">
        <v>43581.0</v>
      </c>
      <c r="L20" s="3">
        <v>16.0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39</v>
      </c>
      <c r="I21" s="27"/>
      <c r="J21" s="28"/>
      <c r="K21" s="36">
        <v>43581.0</v>
      </c>
      <c r="L21" s="3">
        <v>1.5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39</v>
      </c>
      <c r="I22" s="27"/>
      <c r="J22" s="28"/>
      <c r="K22" s="36">
        <v>43582.0</v>
      </c>
      <c r="L22" s="3">
        <v>1.0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43</v>
      </c>
      <c r="I23" s="27"/>
      <c r="J23" s="28"/>
      <c r="K23" s="36">
        <v>43583.0</v>
      </c>
      <c r="L23" s="3">
        <v>13.83</v>
      </c>
      <c r="M23" s="7"/>
      <c r="N23" s="41"/>
      <c r="O23" s="42"/>
      <c r="Q23" s="7"/>
      <c r="S23" s="7"/>
      <c r="U23" s="7"/>
      <c r="W23" s="7"/>
    </row>
    <row r="24">
      <c r="A24" s="2"/>
      <c r="B24" s="35" t="s">
        <v>17</v>
      </c>
      <c r="C24" s="27"/>
      <c r="D24" s="28"/>
      <c r="E24" s="45"/>
      <c r="F24" s="6">
        <f>SUM(F6:F12)</f>
        <v>7</v>
      </c>
      <c r="G24" s="7"/>
      <c r="H24" s="35" t="s">
        <v>17</v>
      </c>
      <c r="I24" s="27"/>
      <c r="J24" s="28"/>
      <c r="K24" s="6"/>
      <c r="L24" s="6">
        <f>SUM(L6:L23)</f>
        <v>113.75</v>
      </c>
      <c r="M24" s="7"/>
      <c r="N24" s="41"/>
      <c r="O24" s="20"/>
      <c r="Q24" s="7"/>
      <c r="S24" s="7"/>
      <c r="U24" s="7"/>
      <c r="W24" s="7"/>
    </row>
    <row r="25" ht="9.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7"/>
      <c r="N25" s="46"/>
      <c r="O25" s="47"/>
      <c r="Q25" s="7"/>
      <c r="S25" s="7"/>
      <c r="U25" s="7"/>
      <c r="W25" s="7"/>
    </row>
    <row r="26">
      <c r="A26" s="25"/>
      <c r="B26" s="26" t="s">
        <v>26</v>
      </c>
      <c r="C26" s="27"/>
      <c r="D26" s="27"/>
      <c r="E26" s="27"/>
      <c r="F26" s="28"/>
      <c r="G26" s="25"/>
      <c r="H26" s="26" t="s">
        <v>25</v>
      </c>
      <c r="I26" s="27"/>
      <c r="J26" s="27"/>
      <c r="K26" s="27"/>
      <c r="L26" s="28"/>
      <c r="M26" s="7"/>
      <c r="N26" s="46"/>
      <c r="O26" s="47"/>
      <c r="Q26" s="7"/>
      <c r="S26" s="7"/>
      <c r="U26" s="7"/>
      <c r="W26" s="7"/>
    </row>
    <row r="27">
      <c r="A27" s="25"/>
      <c r="B27" s="26" t="s">
        <v>33</v>
      </c>
      <c r="C27" s="27"/>
      <c r="D27" s="28"/>
      <c r="E27" s="30" t="s">
        <v>34</v>
      </c>
      <c r="F27" s="31" t="s">
        <v>35</v>
      </c>
      <c r="G27" s="32"/>
      <c r="H27" s="26" t="s">
        <v>33</v>
      </c>
      <c r="I27" s="27"/>
      <c r="J27" s="28"/>
      <c r="K27" s="30" t="s">
        <v>34</v>
      </c>
      <c r="L27" s="31" t="s">
        <v>35</v>
      </c>
      <c r="M27" s="7"/>
      <c r="O27" s="7"/>
      <c r="Q27" s="7"/>
      <c r="S27" s="7"/>
      <c r="U27" s="7"/>
      <c r="W27" s="7"/>
    </row>
    <row r="28">
      <c r="A28" s="2"/>
      <c r="B28" s="35" t="s">
        <v>174</v>
      </c>
      <c r="C28" s="27"/>
      <c r="D28" s="28"/>
      <c r="E28" s="36">
        <v>43559.0</v>
      </c>
      <c r="F28" s="3">
        <v>200.0</v>
      </c>
      <c r="G28" s="5"/>
      <c r="H28" s="35" t="s">
        <v>175</v>
      </c>
      <c r="I28" s="27"/>
      <c r="J28" s="28"/>
      <c r="K28" s="48">
        <v>43556.0</v>
      </c>
      <c r="L28" s="49">
        <v>8.0</v>
      </c>
      <c r="M28" s="7"/>
      <c r="O28" s="7"/>
      <c r="Q28" s="7"/>
      <c r="S28" s="7"/>
      <c r="U28" s="7"/>
      <c r="W28" s="7"/>
    </row>
    <row r="29">
      <c r="A29" s="50"/>
      <c r="B29" s="35" t="s">
        <v>81</v>
      </c>
      <c r="C29" s="27"/>
      <c r="D29" s="28"/>
      <c r="E29" s="36">
        <v>43560.0</v>
      </c>
      <c r="F29" s="3">
        <v>3.5</v>
      </c>
      <c r="G29" s="7"/>
      <c r="H29" s="35" t="s">
        <v>124</v>
      </c>
      <c r="I29" s="27"/>
      <c r="J29" s="28"/>
      <c r="K29" s="36">
        <v>43556.0</v>
      </c>
      <c r="L29" s="49">
        <v>8.0</v>
      </c>
      <c r="M29" s="7"/>
      <c r="O29" s="7"/>
      <c r="Q29" s="7"/>
      <c r="S29" s="7"/>
      <c r="U29" s="7"/>
      <c r="W29" s="7"/>
    </row>
    <row r="30">
      <c r="A30" s="50"/>
      <c r="B30" s="35" t="s">
        <v>176</v>
      </c>
      <c r="C30" s="27"/>
      <c r="D30" s="28"/>
      <c r="E30" s="36">
        <v>43561.0</v>
      </c>
      <c r="F30" s="3">
        <v>13.0</v>
      </c>
      <c r="G30" s="7"/>
      <c r="H30" s="35" t="s">
        <v>177</v>
      </c>
      <c r="I30" s="27"/>
      <c r="J30" s="28"/>
      <c r="K30" s="36">
        <v>43557.0</v>
      </c>
      <c r="L30" s="49">
        <v>7.0</v>
      </c>
      <c r="M30" s="7"/>
      <c r="O30" s="7"/>
      <c r="Q30" s="7"/>
      <c r="S30" s="7"/>
      <c r="U30" s="7"/>
      <c r="W30" s="7"/>
    </row>
    <row r="31">
      <c r="A31" s="50"/>
      <c r="B31" s="35" t="s">
        <v>178</v>
      </c>
      <c r="C31" s="27"/>
      <c r="D31" s="28"/>
      <c r="E31" s="36">
        <v>43562.0</v>
      </c>
      <c r="F31" s="3">
        <v>2.6</v>
      </c>
      <c r="G31" s="7"/>
      <c r="H31" s="35" t="s">
        <v>179</v>
      </c>
      <c r="I31" s="27"/>
      <c r="J31" s="28"/>
      <c r="K31" s="36">
        <v>43558.0</v>
      </c>
      <c r="L31" s="49">
        <v>12.49</v>
      </c>
      <c r="M31" s="7"/>
      <c r="O31" s="7"/>
      <c r="Q31" s="7"/>
      <c r="S31" s="7"/>
      <c r="U31" s="7"/>
      <c r="W31" s="7"/>
    </row>
    <row r="32">
      <c r="A32" s="50"/>
      <c r="B32" s="35" t="s">
        <v>180</v>
      </c>
      <c r="C32" s="27"/>
      <c r="D32" s="28"/>
      <c r="E32" s="36">
        <v>43563.0</v>
      </c>
      <c r="F32" s="3">
        <v>2.4</v>
      </c>
      <c r="G32" s="7"/>
      <c r="H32" s="35" t="s">
        <v>181</v>
      </c>
      <c r="I32" s="27"/>
      <c r="J32" s="28"/>
      <c r="K32" s="36">
        <v>43560.0</v>
      </c>
      <c r="L32" s="49">
        <v>30.8</v>
      </c>
      <c r="M32" s="7"/>
      <c r="O32" s="7"/>
      <c r="Q32" s="7"/>
      <c r="S32" s="7"/>
      <c r="U32" s="7"/>
      <c r="W32" s="7"/>
    </row>
    <row r="33">
      <c r="A33" s="50"/>
      <c r="B33" s="35" t="s">
        <v>182</v>
      </c>
      <c r="C33" s="27"/>
      <c r="D33" s="28"/>
      <c r="E33" s="36">
        <v>43564.0</v>
      </c>
      <c r="F33" s="3">
        <v>15.04</v>
      </c>
      <c r="G33" s="7"/>
      <c r="H33" s="35" t="s">
        <v>58</v>
      </c>
      <c r="I33" s="27"/>
      <c r="J33" s="28"/>
      <c r="K33" s="48">
        <v>43560.0</v>
      </c>
      <c r="L33" s="49">
        <v>2.69</v>
      </c>
      <c r="M33" s="7"/>
      <c r="O33" s="7"/>
      <c r="P33" s="2"/>
      <c r="Q33" s="7"/>
      <c r="S33" s="7"/>
      <c r="U33" s="7"/>
      <c r="W33" s="7"/>
    </row>
    <row r="34">
      <c r="A34" s="50"/>
      <c r="B34" s="35" t="s">
        <v>183</v>
      </c>
      <c r="C34" s="27"/>
      <c r="D34" s="28"/>
      <c r="E34" s="36">
        <v>43566.0</v>
      </c>
      <c r="F34" s="3">
        <f>45+25</f>
        <v>70</v>
      </c>
      <c r="G34" s="7"/>
      <c r="H34" s="35" t="s">
        <v>184</v>
      </c>
      <c r="I34" s="27"/>
      <c r="J34" s="28"/>
      <c r="K34" s="36">
        <v>43561.0</v>
      </c>
      <c r="L34" s="49">
        <v>30.36</v>
      </c>
      <c r="M34" s="7"/>
      <c r="O34" s="7"/>
      <c r="Q34" s="7"/>
      <c r="S34" s="7"/>
      <c r="U34" s="7"/>
      <c r="W34" s="7"/>
    </row>
    <row r="35">
      <c r="A35" s="50"/>
      <c r="B35" s="35" t="s">
        <v>185</v>
      </c>
      <c r="C35" s="27"/>
      <c r="D35" s="28"/>
      <c r="E35" s="36">
        <v>43566.0</v>
      </c>
      <c r="F35" s="3">
        <v>1.6</v>
      </c>
      <c r="G35" s="7"/>
      <c r="H35" s="35" t="s">
        <v>186</v>
      </c>
      <c r="I35" s="27"/>
      <c r="J35" s="28"/>
      <c r="K35" s="36">
        <v>43563.0</v>
      </c>
      <c r="L35" s="51">
        <f>9.49+3.39</f>
        <v>12.88</v>
      </c>
      <c r="M35" s="7"/>
      <c r="O35" s="7"/>
      <c r="Q35" s="7"/>
      <c r="S35" s="7"/>
      <c r="U35" s="7"/>
      <c r="W35" s="7"/>
    </row>
    <row r="36">
      <c r="A36" s="50"/>
      <c r="B36" s="35" t="s">
        <v>187</v>
      </c>
      <c r="C36" s="27"/>
      <c r="D36" s="28"/>
      <c r="E36" s="36">
        <v>43573.0</v>
      </c>
      <c r="F36" s="3">
        <f>10.99+2.09+2.09</f>
        <v>15.17</v>
      </c>
      <c r="G36" s="7"/>
      <c r="H36" s="35" t="s">
        <v>188</v>
      </c>
      <c r="I36" s="27"/>
      <c r="J36" s="28"/>
      <c r="K36" s="36">
        <v>43564.0</v>
      </c>
      <c r="L36" s="49">
        <v>2.39</v>
      </c>
      <c r="M36" s="7"/>
      <c r="O36" s="7"/>
      <c r="Q36" s="7"/>
      <c r="S36" s="7"/>
      <c r="U36" s="7"/>
      <c r="W36" s="7"/>
    </row>
    <row r="37">
      <c r="A37" s="50"/>
      <c r="B37" s="35" t="s">
        <v>189</v>
      </c>
      <c r="C37" s="27"/>
      <c r="D37" s="28"/>
      <c r="E37" s="36">
        <v>43573.0</v>
      </c>
      <c r="F37" s="3">
        <v>50.0</v>
      </c>
      <c r="G37" s="7"/>
      <c r="H37" s="35" t="s">
        <v>56</v>
      </c>
      <c r="I37" s="27"/>
      <c r="J37" s="28"/>
      <c r="K37" s="36">
        <v>43568.0</v>
      </c>
      <c r="L37" s="49">
        <v>19.9</v>
      </c>
      <c r="M37" s="7"/>
      <c r="O37" s="7"/>
      <c r="Q37" s="7"/>
      <c r="S37" s="7"/>
      <c r="U37" s="7"/>
      <c r="W37" s="7"/>
    </row>
    <row r="38">
      <c r="A38" s="50"/>
      <c r="B38" s="35" t="s">
        <v>190</v>
      </c>
      <c r="C38" s="27"/>
      <c r="D38" s="28"/>
      <c r="E38" s="36">
        <v>43574.0</v>
      </c>
      <c r="F38" s="3">
        <v>24.0</v>
      </c>
      <c r="G38" s="7"/>
      <c r="H38" s="35" t="s">
        <v>191</v>
      </c>
      <c r="I38" s="27"/>
      <c r="J38" s="28"/>
      <c r="K38" s="36">
        <v>43569.0</v>
      </c>
      <c r="L38" s="49">
        <v>11.36</v>
      </c>
      <c r="M38" s="7"/>
      <c r="O38" s="7"/>
      <c r="Q38" s="7"/>
      <c r="S38" s="7"/>
      <c r="U38" s="7"/>
      <c r="W38" s="7"/>
    </row>
    <row r="39">
      <c r="A39" s="50"/>
      <c r="B39" s="35" t="s">
        <v>81</v>
      </c>
      <c r="C39" s="27"/>
      <c r="D39" s="28"/>
      <c r="E39" s="36">
        <v>43574.0</v>
      </c>
      <c r="F39" s="3">
        <v>4.5</v>
      </c>
      <c r="G39" s="7"/>
      <c r="H39" s="35" t="s">
        <v>56</v>
      </c>
      <c r="I39" s="27"/>
      <c r="J39" s="28"/>
      <c r="K39" s="36">
        <v>43569.0</v>
      </c>
      <c r="L39" s="49">
        <v>5.67</v>
      </c>
      <c r="M39" s="7"/>
      <c r="O39" s="7"/>
      <c r="Q39" s="7"/>
      <c r="S39" s="7"/>
      <c r="U39" s="7"/>
      <c r="W39" s="7"/>
    </row>
    <row r="40">
      <c r="A40" s="50"/>
      <c r="B40" s="35" t="s">
        <v>192</v>
      </c>
      <c r="C40" s="27"/>
      <c r="D40" s="28"/>
      <c r="E40" s="36">
        <v>43576.0</v>
      </c>
      <c r="F40" s="3">
        <v>23.0</v>
      </c>
      <c r="G40" s="7"/>
      <c r="H40" s="35" t="s">
        <v>193</v>
      </c>
      <c r="I40" s="27"/>
      <c r="J40" s="28"/>
      <c r="K40" s="36">
        <v>43569.0</v>
      </c>
      <c r="L40" s="51">
        <f>23.33</f>
        <v>23.33</v>
      </c>
      <c r="M40" s="7"/>
      <c r="O40" s="7"/>
      <c r="Q40" s="7"/>
      <c r="S40" s="7"/>
      <c r="U40" s="7"/>
      <c r="W40" s="7"/>
    </row>
    <row r="41">
      <c r="A41" s="50"/>
      <c r="B41" s="35" t="s">
        <v>77</v>
      </c>
      <c r="C41" s="27"/>
      <c r="D41" s="28"/>
      <c r="E41" s="36">
        <v>43577.0</v>
      </c>
      <c r="F41" s="3">
        <f>70-23.33</f>
        <v>46.67</v>
      </c>
      <c r="G41" s="7"/>
      <c r="H41" s="35" t="s">
        <v>194</v>
      </c>
      <c r="I41" s="27"/>
      <c r="J41" s="28"/>
      <c r="K41" s="36">
        <v>43538.0</v>
      </c>
      <c r="L41" s="49">
        <v>10.0</v>
      </c>
      <c r="M41" s="7"/>
      <c r="O41" s="7"/>
      <c r="Q41" s="7"/>
      <c r="S41" s="7"/>
      <c r="U41" s="7"/>
      <c r="W41" s="7"/>
    </row>
    <row r="42">
      <c r="A42" s="50"/>
      <c r="B42" s="35" t="s">
        <v>114</v>
      </c>
      <c r="C42" s="27"/>
      <c r="D42" s="28"/>
      <c r="E42" s="36">
        <v>43578.0</v>
      </c>
      <c r="F42" s="3">
        <v>13.0</v>
      </c>
      <c r="G42" s="7"/>
      <c r="H42" s="35" t="s">
        <v>195</v>
      </c>
      <c r="I42" s="27"/>
      <c r="J42" s="28"/>
      <c r="K42" s="36">
        <v>43571.0</v>
      </c>
      <c r="L42" s="49">
        <f>2.79+3</f>
        <v>5.79</v>
      </c>
      <c r="M42" s="7"/>
      <c r="O42" s="7"/>
      <c r="Q42" s="7"/>
      <c r="S42" s="7"/>
      <c r="U42" s="7"/>
      <c r="W42" s="7"/>
    </row>
    <row r="43">
      <c r="A43" s="50"/>
      <c r="B43" s="35" t="s">
        <v>196</v>
      </c>
      <c r="C43" s="27"/>
      <c r="D43" s="28"/>
      <c r="E43" s="36">
        <v>43579.0</v>
      </c>
      <c r="F43" s="3">
        <f>1.75+1.98</f>
        <v>3.73</v>
      </c>
      <c r="G43" s="7"/>
      <c r="H43" s="35" t="s">
        <v>197</v>
      </c>
      <c r="I43" s="27"/>
      <c r="J43" s="28"/>
      <c r="K43" s="36">
        <v>43573.0</v>
      </c>
      <c r="L43" s="49">
        <f>1.52+3.01</f>
        <v>4.53</v>
      </c>
      <c r="M43" s="7"/>
      <c r="O43" s="7"/>
      <c r="Q43" s="7"/>
      <c r="S43" s="7"/>
      <c r="U43" s="7"/>
      <c r="W43" s="7"/>
    </row>
    <row r="44">
      <c r="A44" s="50"/>
      <c r="B44" s="35" t="s">
        <v>198</v>
      </c>
      <c r="C44" s="27"/>
      <c r="D44" s="28"/>
      <c r="E44" s="36">
        <v>43583.0</v>
      </c>
      <c r="F44" s="3">
        <v>2.5</v>
      </c>
      <c r="G44" s="7"/>
      <c r="H44" s="35" t="s">
        <v>194</v>
      </c>
      <c r="I44" s="27"/>
      <c r="J44" s="28"/>
      <c r="K44" s="36">
        <v>43574.0</v>
      </c>
      <c r="L44" s="49">
        <v>12.5</v>
      </c>
      <c r="M44" s="7"/>
      <c r="O44" s="7"/>
      <c r="Q44" s="7"/>
      <c r="S44" s="7"/>
      <c r="U44" s="7"/>
      <c r="W44" s="7"/>
    </row>
    <row r="45">
      <c r="A45" s="50"/>
      <c r="B45" s="35"/>
      <c r="C45" s="27"/>
      <c r="D45" s="28"/>
      <c r="E45" s="36"/>
      <c r="F45" s="3"/>
      <c r="G45" s="7"/>
      <c r="H45" s="35" t="s">
        <v>199</v>
      </c>
      <c r="I45" s="27"/>
      <c r="J45" s="28"/>
      <c r="K45" s="36">
        <v>43575.0</v>
      </c>
      <c r="L45" s="49">
        <v>10.45</v>
      </c>
      <c r="M45" s="7"/>
      <c r="O45" s="7"/>
      <c r="Q45" s="7"/>
      <c r="S45" s="7"/>
      <c r="U45" s="7"/>
      <c r="W45" s="7"/>
    </row>
    <row r="46">
      <c r="A46" s="50"/>
      <c r="B46" s="35"/>
      <c r="C46" s="27"/>
      <c r="D46" s="28"/>
      <c r="E46" s="36"/>
      <c r="F46" s="3"/>
      <c r="G46" s="7"/>
      <c r="H46" s="35" t="s">
        <v>200</v>
      </c>
      <c r="I46" s="27"/>
      <c r="J46" s="28"/>
      <c r="K46" s="36">
        <v>43576.0</v>
      </c>
      <c r="L46" s="49">
        <f>21.5+3.7-17.5</f>
        <v>7.7</v>
      </c>
      <c r="M46" s="7"/>
      <c r="O46" s="7"/>
      <c r="Q46" s="7"/>
      <c r="S46" s="7"/>
      <c r="U46" s="7"/>
      <c r="W46" s="7"/>
    </row>
    <row r="47">
      <c r="A47" s="50"/>
      <c r="B47" s="35"/>
      <c r="C47" s="27"/>
      <c r="D47" s="28"/>
      <c r="E47" s="36"/>
      <c r="F47" s="3"/>
      <c r="G47" s="7"/>
      <c r="H47" s="35" t="s">
        <v>201</v>
      </c>
      <c r="I47" s="27"/>
      <c r="J47" s="28"/>
      <c r="K47" s="36">
        <v>43578.0</v>
      </c>
      <c r="L47" s="49">
        <v>1.0</v>
      </c>
      <c r="M47" s="7"/>
      <c r="O47" s="7"/>
      <c r="Q47" s="7"/>
      <c r="S47" s="7"/>
      <c r="U47" s="7"/>
      <c r="W47" s="7"/>
    </row>
    <row r="48">
      <c r="A48" s="50"/>
      <c r="B48" s="4"/>
      <c r="C48" s="4"/>
      <c r="D48" s="4"/>
      <c r="E48" s="36"/>
      <c r="F48" s="3"/>
      <c r="G48" s="7"/>
      <c r="H48" s="35" t="s">
        <v>161</v>
      </c>
      <c r="I48" s="27"/>
      <c r="J48" s="28"/>
      <c r="K48" s="36">
        <v>43579.0</v>
      </c>
      <c r="L48" s="49">
        <v>4.2</v>
      </c>
      <c r="M48" s="7"/>
      <c r="O48" s="7"/>
      <c r="Q48" s="7"/>
      <c r="S48" s="7"/>
      <c r="U48" s="7"/>
      <c r="W48" s="7"/>
    </row>
    <row r="49">
      <c r="A49" s="50"/>
      <c r="B49" s="4"/>
      <c r="C49" s="4"/>
      <c r="D49" s="4"/>
      <c r="E49" s="36"/>
      <c r="F49" s="3"/>
      <c r="G49" s="7"/>
      <c r="H49" s="35" t="s">
        <v>58</v>
      </c>
      <c r="I49" s="27"/>
      <c r="J49" s="28"/>
      <c r="K49" s="36">
        <v>43580.0</v>
      </c>
      <c r="L49" s="49">
        <v>2.59</v>
      </c>
      <c r="M49" s="7"/>
      <c r="O49" s="7"/>
      <c r="Q49" s="7"/>
      <c r="S49" s="7"/>
      <c r="U49" s="7"/>
      <c r="W49" s="7"/>
    </row>
    <row r="50">
      <c r="A50" s="50"/>
      <c r="B50" s="4"/>
      <c r="C50" s="4"/>
      <c r="D50" s="4"/>
      <c r="E50" s="36"/>
      <c r="F50" s="3"/>
      <c r="G50" s="7"/>
      <c r="H50" s="35" t="s">
        <v>202</v>
      </c>
      <c r="I50" s="27"/>
      <c r="J50" s="28"/>
      <c r="K50" s="36">
        <v>43581.0</v>
      </c>
      <c r="L50" s="49">
        <v>4.0</v>
      </c>
      <c r="M50" s="7"/>
      <c r="O50" s="7"/>
      <c r="Q50" s="7"/>
      <c r="S50" s="7"/>
      <c r="U50" s="7"/>
      <c r="W50" s="7"/>
    </row>
    <row r="51">
      <c r="A51" s="50"/>
      <c r="B51" s="4"/>
      <c r="C51" s="4"/>
      <c r="D51" s="4"/>
      <c r="E51" s="36"/>
      <c r="F51" s="3"/>
      <c r="G51" s="7"/>
      <c r="H51" s="35"/>
      <c r="I51" s="27"/>
      <c r="J51" s="28"/>
      <c r="K51" s="36"/>
      <c r="L51" s="49"/>
      <c r="M51" s="7"/>
      <c r="O51" s="7"/>
      <c r="Q51" s="7"/>
      <c r="S51" s="7"/>
      <c r="U51" s="7"/>
      <c r="W51" s="7"/>
    </row>
    <row r="52">
      <c r="A52" s="50"/>
      <c r="B52" s="4"/>
      <c r="C52" s="4"/>
      <c r="D52" s="4"/>
      <c r="E52" s="36"/>
      <c r="F52" s="3"/>
      <c r="G52" s="7"/>
      <c r="H52" s="35"/>
      <c r="I52" s="27"/>
      <c r="J52" s="28"/>
      <c r="K52" s="36"/>
      <c r="L52" s="49"/>
      <c r="M52" s="7"/>
      <c r="O52" s="7"/>
      <c r="Q52" s="7"/>
      <c r="S52" s="7"/>
      <c r="U52" s="7"/>
      <c r="W52" s="7"/>
    </row>
    <row r="53">
      <c r="A53" s="50"/>
      <c r="B53" s="4"/>
      <c r="C53" s="4"/>
      <c r="D53" s="4"/>
      <c r="E53" s="36"/>
      <c r="F53" s="3"/>
      <c r="G53" s="7"/>
      <c r="H53" s="35"/>
      <c r="I53" s="27"/>
      <c r="J53" s="28"/>
      <c r="K53" s="36"/>
      <c r="L53" s="49"/>
      <c r="M53" s="7"/>
      <c r="O53" s="7"/>
      <c r="Q53" s="7"/>
      <c r="S53" s="7"/>
      <c r="U53" s="7"/>
      <c r="W53" s="7"/>
    </row>
    <row r="54">
      <c r="A54" s="50"/>
      <c r="B54" s="4"/>
      <c r="C54" s="4"/>
      <c r="D54" s="4"/>
      <c r="E54" s="36"/>
      <c r="F54" s="3"/>
      <c r="G54" s="7"/>
      <c r="H54" s="35"/>
      <c r="I54" s="27"/>
      <c r="J54" s="28"/>
      <c r="K54" s="36"/>
      <c r="L54" s="49"/>
      <c r="M54" s="7"/>
      <c r="O54" s="7"/>
      <c r="Q54" s="7"/>
      <c r="S54" s="7"/>
      <c r="U54" s="7"/>
      <c r="W54" s="7"/>
    </row>
    <row r="55">
      <c r="A55" s="2"/>
      <c r="B55" s="35" t="s">
        <v>17</v>
      </c>
      <c r="C55" s="27"/>
      <c r="D55" s="28"/>
      <c r="E55" s="45"/>
      <c r="F55" s="6">
        <f>SUM(F28:F46)</f>
        <v>490.71</v>
      </c>
      <c r="G55" s="7"/>
      <c r="H55" s="52"/>
      <c r="I55" s="27"/>
      <c r="J55" s="28"/>
      <c r="K55" s="6"/>
      <c r="L55" s="6">
        <f>SUM(L28:L54)</f>
        <v>237.63</v>
      </c>
      <c r="M55" s="7"/>
      <c r="O55" s="7"/>
      <c r="Q55" s="7"/>
      <c r="S55" s="7"/>
      <c r="U55" s="7"/>
      <c r="W55" s="7"/>
    </row>
    <row r="56">
      <c r="A56" s="50"/>
      <c r="B56" s="50"/>
      <c r="C56" s="7"/>
      <c r="F56" s="7"/>
      <c r="G56" s="7"/>
      <c r="I56" s="7"/>
      <c r="K56" s="7"/>
      <c r="L56" s="7"/>
      <c r="M56" s="7"/>
      <c r="O56" s="7"/>
      <c r="Q56" s="7"/>
      <c r="S56" s="7"/>
      <c r="U56" s="7"/>
      <c r="W56" s="7"/>
    </row>
    <row r="57">
      <c r="A57" s="25"/>
      <c r="B57" s="26" t="s">
        <v>24</v>
      </c>
      <c r="C57" s="27"/>
      <c r="D57" s="27"/>
      <c r="E57" s="27"/>
      <c r="F57" s="28"/>
      <c r="G57" s="7"/>
      <c r="H57" s="26" t="s">
        <v>19</v>
      </c>
      <c r="I57" s="27"/>
      <c r="J57" s="27"/>
      <c r="K57" s="27"/>
      <c r="L57" s="28"/>
      <c r="M57" s="7"/>
      <c r="O57" s="7"/>
      <c r="Q57" s="7"/>
      <c r="S57" s="7"/>
      <c r="U57" s="7"/>
      <c r="W57" s="7"/>
    </row>
    <row r="58">
      <c r="A58" s="25"/>
      <c r="B58" s="26" t="s">
        <v>33</v>
      </c>
      <c r="C58" s="27"/>
      <c r="D58" s="28"/>
      <c r="E58" s="30" t="s">
        <v>34</v>
      </c>
      <c r="F58" s="31" t="s">
        <v>35</v>
      </c>
      <c r="G58" s="7"/>
      <c r="H58" s="26" t="s">
        <v>33</v>
      </c>
      <c r="I58" s="27"/>
      <c r="J58" s="28"/>
      <c r="K58" s="30" t="s">
        <v>34</v>
      </c>
      <c r="L58" s="31" t="s">
        <v>35</v>
      </c>
      <c r="M58" s="7"/>
      <c r="O58" s="7"/>
      <c r="Q58" s="7"/>
      <c r="S58" s="7"/>
      <c r="U58" s="7"/>
      <c r="W58" s="7"/>
    </row>
    <row r="59">
      <c r="A59" s="2"/>
      <c r="B59" s="35" t="s">
        <v>82</v>
      </c>
      <c r="C59" s="27"/>
      <c r="D59" s="28"/>
      <c r="E59" s="36">
        <v>43564.0</v>
      </c>
      <c r="F59" s="3">
        <v>20.0</v>
      </c>
      <c r="G59" s="7"/>
      <c r="H59" s="35" t="s">
        <v>122</v>
      </c>
      <c r="I59" s="27"/>
      <c r="J59" s="28"/>
      <c r="K59" s="36">
        <v>43571.0</v>
      </c>
      <c r="L59" s="3">
        <v>50.0</v>
      </c>
      <c r="M59" s="7"/>
      <c r="O59" s="7"/>
      <c r="Q59" s="7"/>
      <c r="S59" s="7"/>
      <c r="U59" s="7"/>
      <c r="W59" s="7"/>
    </row>
    <row r="60">
      <c r="A60" s="50"/>
      <c r="B60" s="35"/>
      <c r="C60" s="27"/>
      <c r="D60" s="28"/>
      <c r="E60" s="36"/>
      <c r="F60" s="3"/>
      <c r="G60" s="7"/>
      <c r="H60" s="35"/>
      <c r="I60" s="27"/>
      <c r="J60" s="28"/>
      <c r="K60" s="36"/>
      <c r="L60" s="3"/>
      <c r="M60" s="7"/>
      <c r="O60" s="7"/>
      <c r="Q60" s="7"/>
      <c r="S60" s="7"/>
      <c r="U60" s="7"/>
      <c r="W60" s="7"/>
    </row>
    <row r="61">
      <c r="A61" s="50"/>
      <c r="B61" s="53"/>
      <c r="C61" s="27"/>
      <c r="D61" s="28"/>
      <c r="E61" s="45"/>
      <c r="F61" s="6"/>
      <c r="G61" s="7"/>
      <c r="H61" s="35"/>
      <c r="I61" s="27"/>
      <c r="J61" s="28"/>
      <c r="K61" s="36"/>
      <c r="L61" s="3"/>
      <c r="M61" s="7"/>
      <c r="O61" s="7"/>
      <c r="Q61" s="7"/>
      <c r="S61" s="7"/>
      <c r="U61" s="7"/>
      <c r="W61" s="7"/>
    </row>
    <row r="62">
      <c r="A62" s="50"/>
      <c r="B62" s="53"/>
      <c r="C62" s="27"/>
      <c r="D62" s="28"/>
      <c r="E62" s="45"/>
      <c r="F62" s="6"/>
      <c r="G62" s="7"/>
      <c r="H62" s="35"/>
      <c r="I62" s="27"/>
      <c r="J62" s="28"/>
      <c r="K62" s="36"/>
      <c r="L62" s="3"/>
      <c r="M62" s="7"/>
      <c r="O62" s="7"/>
      <c r="Q62" s="7"/>
      <c r="S62" s="7"/>
      <c r="U62" s="7"/>
      <c r="W62" s="7"/>
    </row>
    <row r="63">
      <c r="A63" s="50"/>
      <c r="B63" s="53"/>
      <c r="C63" s="27"/>
      <c r="D63" s="28"/>
      <c r="E63" s="45"/>
      <c r="F63" s="6"/>
      <c r="G63" s="7"/>
      <c r="H63" s="53"/>
      <c r="I63" s="27"/>
      <c r="J63" s="28"/>
      <c r="K63" s="45"/>
      <c r="L63" s="6"/>
      <c r="M63" s="7"/>
      <c r="O63" s="7"/>
      <c r="Q63" s="7"/>
      <c r="S63" s="7"/>
      <c r="U63" s="7"/>
      <c r="W63" s="7"/>
    </row>
    <row r="64">
      <c r="A64" s="50"/>
      <c r="B64" s="53"/>
      <c r="C64" s="27"/>
      <c r="D64" s="28"/>
      <c r="E64" s="45"/>
      <c r="F64" s="6"/>
      <c r="G64" s="7"/>
      <c r="H64" s="53"/>
      <c r="I64" s="27"/>
      <c r="J64" s="28"/>
      <c r="K64" s="45"/>
      <c r="L64" s="6"/>
      <c r="M64" s="7"/>
      <c r="O64" s="7"/>
      <c r="Q64" s="7"/>
      <c r="S64" s="7"/>
      <c r="U64" s="7"/>
      <c r="W64" s="7"/>
    </row>
    <row r="65">
      <c r="A65" s="50"/>
      <c r="B65" s="53"/>
      <c r="C65" s="27"/>
      <c r="D65" s="28"/>
      <c r="E65" s="45"/>
      <c r="F65" s="6"/>
      <c r="G65" s="7"/>
      <c r="H65" s="53"/>
      <c r="I65" s="27"/>
      <c r="J65" s="28"/>
      <c r="K65" s="45"/>
      <c r="L65" s="6"/>
      <c r="M65" s="7"/>
      <c r="O65" s="7"/>
      <c r="Q65" s="7"/>
      <c r="S65" s="7"/>
      <c r="U65" s="7"/>
      <c r="W65" s="7"/>
    </row>
    <row r="66">
      <c r="A66" s="2"/>
      <c r="B66" s="35" t="s">
        <v>17</v>
      </c>
      <c r="C66" s="27"/>
      <c r="D66" s="28"/>
      <c r="E66" s="45"/>
      <c r="F66" s="6">
        <f>SUM(F59:F65)</f>
        <v>20</v>
      </c>
      <c r="G66" s="7"/>
      <c r="H66" s="35" t="s">
        <v>17</v>
      </c>
      <c r="I66" s="27"/>
      <c r="J66" s="28"/>
      <c r="K66" s="45"/>
      <c r="L66" s="6">
        <f>SUM(L59:L65)</f>
        <v>50</v>
      </c>
      <c r="M66" s="7"/>
      <c r="O66" s="7"/>
      <c r="Q66" s="7"/>
      <c r="S66" s="7"/>
      <c r="U66" s="7"/>
      <c r="W66" s="7"/>
    </row>
    <row r="67">
      <c r="F67" s="7"/>
      <c r="G67" s="7"/>
      <c r="I67" s="7"/>
      <c r="K67" s="7"/>
      <c r="L67" s="7"/>
      <c r="M67" s="7"/>
      <c r="O67" s="7"/>
      <c r="Q67" s="7"/>
      <c r="S67" s="7"/>
      <c r="U67" s="7"/>
      <c r="W67" s="7"/>
    </row>
    <row r="68">
      <c r="A68" s="25"/>
      <c r="B68" s="26" t="s">
        <v>21</v>
      </c>
      <c r="C68" s="27"/>
      <c r="D68" s="27"/>
      <c r="E68" s="27"/>
      <c r="F68" s="28"/>
      <c r="G68" s="7"/>
      <c r="H68" s="26" t="s">
        <v>20</v>
      </c>
      <c r="I68" s="27"/>
      <c r="J68" s="27"/>
      <c r="K68" s="27"/>
      <c r="L68" s="28"/>
      <c r="M68" s="7"/>
      <c r="O68" s="7"/>
      <c r="Q68" s="7"/>
      <c r="S68" s="7"/>
      <c r="U68" s="7"/>
      <c r="W68" s="7"/>
    </row>
    <row r="69">
      <c r="A69" s="25"/>
      <c r="B69" s="26" t="s">
        <v>33</v>
      </c>
      <c r="C69" s="27"/>
      <c r="D69" s="28"/>
      <c r="E69" s="30" t="s">
        <v>34</v>
      </c>
      <c r="F69" s="31" t="s">
        <v>35</v>
      </c>
      <c r="G69" s="7"/>
      <c r="H69" s="26" t="s">
        <v>33</v>
      </c>
      <c r="I69" s="27"/>
      <c r="J69" s="28"/>
      <c r="K69" s="30" t="s">
        <v>34</v>
      </c>
      <c r="L69" s="31" t="s">
        <v>35</v>
      </c>
      <c r="M69" s="7"/>
      <c r="O69" s="7"/>
      <c r="Q69" s="7"/>
      <c r="S69" s="7"/>
      <c r="U69" s="7"/>
      <c r="W69" s="7"/>
    </row>
    <row r="70">
      <c r="A70" s="2"/>
      <c r="B70" s="35" t="s">
        <v>124</v>
      </c>
      <c r="C70" s="27"/>
      <c r="D70" s="28"/>
      <c r="E70" s="36">
        <v>43565.0</v>
      </c>
      <c r="F70" s="3">
        <f>25.96/4+6.49</f>
        <v>12.98</v>
      </c>
      <c r="G70" s="7"/>
      <c r="H70" s="35" t="s">
        <v>203</v>
      </c>
      <c r="I70" s="27"/>
      <c r="J70" s="28"/>
      <c r="K70" s="36">
        <v>43565.0</v>
      </c>
      <c r="L70" s="3">
        <f>180.62/4+45.16</f>
        <v>90.315</v>
      </c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53"/>
      <c r="I71" s="27"/>
      <c r="J71" s="28"/>
      <c r="K71" s="45"/>
      <c r="L71" s="6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53"/>
      <c r="I72" s="27"/>
      <c r="J72" s="28"/>
      <c r="K72" s="45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45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45"/>
      <c r="L74" s="6"/>
      <c r="M74" s="7"/>
      <c r="O74" s="7"/>
      <c r="Q74" s="7"/>
      <c r="S74" s="7"/>
      <c r="U74" s="7"/>
      <c r="W74" s="7"/>
    </row>
    <row r="75">
      <c r="A75" s="50"/>
      <c r="B75" s="53"/>
      <c r="C75" s="27"/>
      <c r="D75" s="28"/>
      <c r="E75" s="45"/>
      <c r="F75" s="6"/>
      <c r="G75" s="7"/>
      <c r="H75" s="53"/>
      <c r="I75" s="27"/>
      <c r="J75" s="28"/>
      <c r="K75" s="45"/>
      <c r="L75" s="6"/>
      <c r="M75" s="7"/>
      <c r="O75" s="7"/>
      <c r="Q75" s="7"/>
      <c r="S75" s="7"/>
      <c r="U75" s="7"/>
      <c r="W75" s="7"/>
    </row>
    <row r="76">
      <c r="A76" s="50"/>
      <c r="B76" s="53"/>
      <c r="C76" s="27"/>
      <c r="D76" s="28"/>
      <c r="E76" s="45"/>
      <c r="F76" s="6"/>
      <c r="G76" s="7"/>
      <c r="H76" s="53"/>
      <c r="I76" s="27"/>
      <c r="J76" s="28"/>
      <c r="K76" s="45"/>
      <c r="L76" s="6"/>
      <c r="M76" s="7"/>
      <c r="O76" s="7"/>
      <c r="Q76" s="7"/>
      <c r="S76" s="7"/>
      <c r="U76" s="7"/>
      <c r="W76" s="7"/>
    </row>
    <row r="77">
      <c r="A77" s="2"/>
      <c r="B77" s="35" t="s">
        <v>17</v>
      </c>
      <c r="C77" s="27"/>
      <c r="D77" s="28"/>
      <c r="E77" s="45"/>
      <c r="F77" s="6">
        <f>SUM(F70:F76)</f>
        <v>12.98</v>
      </c>
      <c r="G77" s="7"/>
      <c r="H77" s="35" t="s">
        <v>17</v>
      </c>
      <c r="I77" s="27"/>
      <c r="J77" s="28"/>
      <c r="K77" s="45"/>
      <c r="L77" s="6">
        <f>SUM(L70:L76)</f>
        <v>90.315</v>
      </c>
      <c r="M77" s="7"/>
      <c r="O77" s="7"/>
      <c r="Q77" s="7"/>
      <c r="S77" s="7"/>
      <c r="U77" s="7"/>
      <c r="W77" s="7"/>
    </row>
    <row r="78">
      <c r="F78" s="7"/>
      <c r="G78" s="7"/>
      <c r="I78" s="7"/>
      <c r="K78" s="7"/>
      <c r="L78" s="7"/>
      <c r="M78" s="7"/>
      <c r="O78" s="7"/>
      <c r="Q78" s="7"/>
      <c r="S78" s="7"/>
      <c r="U78" s="7"/>
      <c r="W78" s="7"/>
    </row>
    <row r="79">
      <c r="A79" s="25"/>
      <c r="B79" s="26" t="s">
        <v>22</v>
      </c>
      <c r="C79" s="27"/>
      <c r="D79" s="27"/>
      <c r="E79" s="27"/>
      <c r="F79" s="28"/>
      <c r="G79" s="7"/>
      <c r="H79" s="26" t="s">
        <v>83</v>
      </c>
      <c r="I79" s="27"/>
      <c r="J79" s="27"/>
      <c r="K79" s="27"/>
      <c r="L79" s="28"/>
      <c r="M79" s="7"/>
      <c r="O79" s="7"/>
      <c r="Q79" s="7"/>
      <c r="S79" s="7"/>
      <c r="U79" s="7"/>
      <c r="W79" s="7"/>
    </row>
    <row r="80">
      <c r="A80" s="25"/>
      <c r="B80" s="26" t="s">
        <v>33</v>
      </c>
      <c r="C80" s="27"/>
      <c r="D80" s="28"/>
      <c r="E80" s="30" t="s">
        <v>34</v>
      </c>
      <c r="F80" s="31" t="s">
        <v>35</v>
      </c>
      <c r="G80" s="7"/>
      <c r="H80" s="26" t="s">
        <v>33</v>
      </c>
      <c r="I80" s="27"/>
      <c r="J80" s="28"/>
      <c r="K80" s="30" t="s">
        <v>34</v>
      </c>
      <c r="L80" s="31" t="s">
        <v>35</v>
      </c>
      <c r="M80" s="7"/>
      <c r="O80" s="7"/>
      <c r="Q80" s="7"/>
      <c r="S80" s="7"/>
      <c r="U80" s="7"/>
      <c r="W80" s="7"/>
    </row>
    <row r="81">
      <c r="A81" s="2"/>
      <c r="B81" s="35"/>
      <c r="C81" s="27"/>
      <c r="D81" s="28"/>
      <c r="E81" s="36"/>
      <c r="F81" s="3"/>
      <c r="G81" s="7"/>
      <c r="H81" s="35"/>
      <c r="I81" s="27"/>
      <c r="J81" s="28"/>
      <c r="K81" s="36"/>
      <c r="L81" s="3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45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45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45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45"/>
      <c r="F85" s="6"/>
      <c r="G85" s="7"/>
      <c r="H85" s="53"/>
      <c r="I85" s="27"/>
      <c r="J85" s="28"/>
      <c r="K85" s="45"/>
      <c r="L85" s="6"/>
      <c r="M85" s="7"/>
      <c r="O85" s="7"/>
      <c r="Q85" s="7"/>
      <c r="S85" s="7"/>
      <c r="U85" s="7"/>
      <c r="W85" s="7"/>
    </row>
    <row r="86">
      <c r="A86" s="50"/>
      <c r="B86" s="53"/>
      <c r="C86" s="27"/>
      <c r="D86" s="28"/>
      <c r="E86" s="45"/>
      <c r="F86" s="6"/>
      <c r="G86" s="7"/>
      <c r="H86" s="53"/>
      <c r="I86" s="27"/>
      <c r="J86" s="28"/>
      <c r="K86" s="45"/>
      <c r="L86" s="6"/>
      <c r="M86" s="7"/>
      <c r="O86" s="7"/>
      <c r="Q86" s="7"/>
      <c r="S86" s="7"/>
      <c r="U86" s="7"/>
      <c r="W86" s="7"/>
    </row>
    <row r="87">
      <c r="A87" s="50"/>
      <c r="B87" s="53"/>
      <c r="C87" s="27"/>
      <c r="D87" s="28"/>
      <c r="E87" s="45"/>
      <c r="F87" s="6"/>
      <c r="G87" s="7"/>
      <c r="H87" s="53"/>
      <c r="I87" s="27"/>
      <c r="J87" s="28"/>
      <c r="K87" s="45"/>
      <c r="L87" s="6"/>
      <c r="M87" s="7"/>
      <c r="O87" s="7"/>
      <c r="Q87" s="7"/>
      <c r="S87" s="7"/>
      <c r="U87" s="7"/>
      <c r="W87" s="7"/>
    </row>
    <row r="88">
      <c r="A88" s="2"/>
      <c r="B88" s="35" t="s">
        <v>17</v>
      </c>
      <c r="C88" s="27"/>
      <c r="D88" s="28"/>
      <c r="E88" s="45"/>
      <c r="F88" s="6">
        <f>SUM(F81:F87)</f>
        <v>0</v>
      </c>
      <c r="G88" s="7"/>
      <c r="H88" s="35" t="s">
        <v>17</v>
      </c>
      <c r="I88" s="27"/>
      <c r="J88" s="28"/>
      <c r="K88" s="45"/>
      <c r="L88" s="6">
        <f>SUM(L81:L87)</f>
        <v>0</v>
      </c>
      <c r="M88" s="7"/>
      <c r="O88" s="7"/>
      <c r="Q88" s="7"/>
      <c r="S88" s="7"/>
      <c r="U88" s="7"/>
      <c r="W88" s="7"/>
    </row>
    <row r="89">
      <c r="F89" s="7"/>
      <c r="G89" s="7"/>
      <c r="I89" s="7"/>
      <c r="K89" s="7"/>
      <c r="L89" s="7"/>
      <c r="M89" s="7"/>
      <c r="O89" s="7"/>
      <c r="Q89" s="7"/>
      <c r="S89" s="7"/>
      <c r="U89" s="7"/>
      <c r="W89" s="7"/>
    </row>
    <row r="90">
      <c r="B90" s="26" t="s">
        <v>28</v>
      </c>
      <c r="C90" s="27"/>
      <c r="D90" s="27"/>
      <c r="E90" s="27"/>
      <c r="F90" s="28"/>
      <c r="G90" s="7"/>
      <c r="I90" s="7"/>
      <c r="K90" s="7"/>
      <c r="L90" s="7"/>
      <c r="M90" s="7"/>
      <c r="O90" s="7"/>
      <c r="Q90" s="7"/>
      <c r="S90" s="7"/>
      <c r="U90" s="7"/>
      <c r="W90" s="7"/>
    </row>
    <row r="91">
      <c r="B91" s="26" t="s">
        <v>33</v>
      </c>
      <c r="C91" s="27"/>
      <c r="D91" s="28"/>
      <c r="E91" s="30" t="s">
        <v>34</v>
      </c>
      <c r="F91" s="31" t="s">
        <v>35</v>
      </c>
      <c r="G91" s="7"/>
      <c r="I91" s="7"/>
      <c r="K91" s="7"/>
      <c r="L91" s="7"/>
      <c r="M91" s="7"/>
      <c r="O91" s="7"/>
      <c r="Q91" s="7"/>
      <c r="S91" s="7"/>
      <c r="U91" s="7"/>
      <c r="W91" s="7"/>
    </row>
    <row r="92">
      <c r="B92" s="35" t="s">
        <v>86</v>
      </c>
      <c r="C92" s="27"/>
      <c r="D92" s="28"/>
      <c r="E92" s="36">
        <v>43556.0</v>
      </c>
      <c r="F92" s="3">
        <v>43.24</v>
      </c>
      <c r="G92" s="7"/>
      <c r="I92" s="7"/>
      <c r="K92" s="7"/>
      <c r="L92" s="7"/>
      <c r="M92" s="7"/>
      <c r="O92" s="7"/>
      <c r="Q92" s="7"/>
      <c r="S92" s="7"/>
      <c r="U92" s="7"/>
      <c r="W92" s="7"/>
    </row>
    <row r="93">
      <c r="B93" s="35" t="s">
        <v>204</v>
      </c>
      <c r="C93" s="27"/>
      <c r="D93" s="28"/>
      <c r="E93" s="36">
        <v>43558.0</v>
      </c>
      <c r="F93" s="3">
        <v>85.0</v>
      </c>
      <c r="G93" s="7"/>
      <c r="I93" s="7"/>
      <c r="K93" s="7"/>
      <c r="L93" s="7"/>
      <c r="M93" s="7"/>
      <c r="O93" s="7"/>
      <c r="Q93" s="7"/>
      <c r="S93" s="7"/>
      <c r="U93" s="7"/>
      <c r="W93" s="7"/>
    </row>
    <row r="94">
      <c r="B94" s="35" t="s">
        <v>205</v>
      </c>
      <c r="C94" s="27"/>
      <c r="D94" s="28"/>
      <c r="E94" s="36">
        <v>43564.0</v>
      </c>
      <c r="F94" s="3">
        <v>22.0</v>
      </c>
      <c r="G94" s="7"/>
      <c r="I94" s="7"/>
      <c r="K94" s="7"/>
      <c r="L94" s="7"/>
      <c r="M94" s="7"/>
      <c r="O94" s="7"/>
      <c r="Q94" s="7"/>
      <c r="S94" s="7"/>
      <c r="U94" s="7"/>
      <c r="W94" s="7"/>
    </row>
    <row r="95">
      <c r="B95" s="35" t="s">
        <v>86</v>
      </c>
      <c r="C95" s="27"/>
      <c r="D95" s="28"/>
      <c r="E95" s="36">
        <v>43583.0</v>
      </c>
      <c r="F95" s="3">
        <v>20.0</v>
      </c>
      <c r="G95" s="7"/>
      <c r="I95" s="7"/>
      <c r="K95" s="7"/>
      <c r="L95" s="7"/>
      <c r="M95" s="7"/>
      <c r="O95" s="7"/>
      <c r="Q95" s="7"/>
      <c r="S95" s="7"/>
      <c r="U95" s="7"/>
      <c r="W95" s="7"/>
    </row>
    <row r="96">
      <c r="B96" s="53"/>
      <c r="C96" s="27"/>
      <c r="D96" s="28"/>
      <c r="E96" s="45"/>
      <c r="F96" s="6"/>
      <c r="G96" s="7"/>
      <c r="I96" s="7"/>
      <c r="K96" s="7"/>
      <c r="L96" s="7"/>
      <c r="M96" s="7"/>
      <c r="O96" s="7"/>
      <c r="Q96" s="7"/>
      <c r="S96" s="7"/>
      <c r="U96" s="7"/>
      <c r="W96" s="7"/>
    </row>
    <row r="97">
      <c r="B97" s="53"/>
      <c r="C97" s="27"/>
      <c r="D97" s="28"/>
      <c r="E97" s="45"/>
      <c r="F97" s="6"/>
      <c r="G97" s="7"/>
      <c r="I97" s="7"/>
      <c r="K97" s="7"/>
      <c r="L97" s="7"/>
      <c r="M97" s="7"/>
      <c r="O97" s="7"/>
      <c r="Q97" s="7"/>
      <c r="S97" s="7"/>
      <c r="U97" s="7"/>
      <c r="W97" s="7"/>
    </row>
    <row r="98">
      <c r="B98" s="53"/>
      <c r="C98" s="27"/>
      <c r="D98" s="28"/>
      <c r="E98" s="45"/>
      <c r="F98" s="6"/>
      <c r="G98" s="7"/>
      <c r="I98" s="7"/>
      <c r="K98" s="7"/>
      <c r="L98" s="7"/>
      <c r="M98" s="7"/>
      <c r="O98" s="7"/>
      <c r="Q98" s="7"/>
      <c r="S98" s="7"/>
      <c r="U98" s="7"/>
      <c r="W98" s="7"/>
    </row>
    <row r="99">
      <c r="B99" s="35" t="s">
        <v>17</v>
      </c>
      <c r="C99" s="27"/>
      <c r="D99" s="28"/>
      <c r="E99" s="45"/>
      <c r="F99" s="6">
        <f>SUM(F92:F98)</f>
        <v>170.24</v>
      </c>
      <c r="G99" s="7"/>
      <c r="I99" s="7"/>
      <c r="K99" s="7"/>
      <c r="L99" s="7"/>
      <c r="M99" s="7"/>
      <c r="O99" s="7"/>
      <c r="Q99" s="7"/>
      <c r="S99" s="7"/>
      <c r="U99" s="7"/>
      <c r="W99" s="7"/>
    </row>
    <row r="100">
      <c r="F100" s="7"/>
      <c r="G100" s="7"/>
      <c r="I100" s="7"/>
      <c r="K100" s="7"/>
      <c r="L100" s="7"/>
      <c r="M100" s="7"/>
      <c r="O100" s="7"/>
      <c r="Q100" s="7"/>
      <c r="S100" s="7"/>
      <c r="U100" s="7"/>
      <c r="W100" s="7"/>
    </row>
    <row r="101">
      <c r="F101" s="7"/>
      <c r="G101" s="7"/>
      <c r="I101" s="7"/>
      <c r="K101" s="7"/>
      <c r="L101" s="7"/>
      <c r="M101" s="7"/>
      <c r="O101" s="7"/>
      <c r="Q101" s="7"/>
      <c r="S101" s="7"/>
      <c r="U101" s="7"/>
      <c r="W101" s="7"/>
    </row>
    <row r="102">
      <c r="F102" s="7"/>
      <c r="G102" s="7"/>
      <c r="I102" s="7"/>
      <c r="K102" s="7"/>
      <c r="L102" s="7"/>
      <c r="M102" s="7"/>
      <c r="O102" s="7"/>
      <c r="Q102" s="7"/>
      <c r="S102" s="7"/>
      <c r="U102" s="7"/>
      <c r="W102" s="7"/>
    </row>
    <row r="103">
      <c r="F103" s="7"/>
      <c r="G103" s="7"/>
      <c r="I103" s="7"/>
      <c r="K103" s="7"/>
      <c r="L103" s="7"/>
      <c r="M103" s="7"/>
      <c r="O103" s="7"/>
      <c r="Q103" s="7"/>
      <c r="S103" s="7"/>
      <c r="U103" s="7"/>
      <c r="W103" s="7"/>
    </row>
    <row r="104">
      <c r="F104" s="7"/>
      <c r="G104" s="7"/>
      <c r="I104" s="7"/>
      <c r="K104" s="7"/>
      <c r="L104" s="7"/>
      <c r="M104" s="7"/>
      <c r="O104" s="7"/>
      <c r="Q104" s="7"/>
      <c r="S104" s="7"/>
      <c r="U104" s="7"/>
      <c r="W104" s="7"/>
    </row>
    <row r="105">
      <c r="F105" s="7"/>
      <c r="G105" s="7"/>
      <c r="I105" s="7"/>
      <c r="K105" s="7"/>
      <c r="L105" s="7"/>
      <c r="M105" s="7"/>
      <c r="O105" s="7"/>
      <c r="Q105" s="7"/>
      <c r="S105" s="7"/>
      <c r="U105" s="7"/>
      <c r="W105" s="7"/>
    </row>
    <row r="106">
      <c r="F106" s="7"/>
      <c r="G106" s="7"/>
      <c r="I106" s="7"/>
      <c r="K106" s="7"/>
      <c r="L106" s="7"/>
      <c r="M106" s="7"/>
      <c r="O106" s="7"/>
      <c r="Q106" s="7"/>
      <c r="S106" s="7"/>
      <c r="U106" s="7"/>
      <c r="W106" s="7"/>
    </row>
    <row r="107">
      <c r="F107" s="7"/>
      <c r="G107" s="7"/>
      <c r="I107" s="7"/>
      <c r="K107" s="7"/>
      <c r="L107" s="7"/>
      <c r="M107" s="7"/>
      <c r="O107" s="7"/>
      <c r="Q107" s="7"/>
      <c r="S107" s="7"/>
      <c r="U107" s="7"/>
      <c r="W107" s="7"/>
    </row>
    <row r="108">
      <c r="F108" s="7"/>
      <c r="G108" s="7"/>
      <c r="I108" s="7"/>
      <c r="K108" s="7"/>
      <c r="L108" s="7"/>
      <c r="M108" s="7"/>
      <c r="O108" s="7"/>
      <c r="Q108" s="7"/>
      <c r="S108" s="7"/>
      <c r="U108" s="7"/>
      <c r="W108" s="7"/>
    </row>
    <row r="109">
      <c r="F109" s="7"/>
      <c r="G109" s="7"/>
      <c r="I109" s="7"/>
      <c r="K109" s="7"/>
      <c r="L109" s="7"/>
      <c r="M109" s="7"/>
      <c r="O109" s="7"/>
      <c r="Q109" s="7"/>
      <c r="S109" s="7"/>
      <c r="U109" s="7"/>
      <c r="W109" s="7"/>
    </row>
    <row r="110">
      <c r="F110" s="7"/>
      <c r="G110" s="7"/>
      <c r="I110" s="7"/>
      <c r="K110" s="7"/>
      <c r="L110" s="7"/>
      <c r="M110" s="7"/>
      <c r="O110" s="7"/>
      <c r="Q110" s="7"/>
      <c r="S110" s="7"/>
      <c r="U110" s="7"/>
      <c r="W110" s="7"/>
    </row>
    <row r="111">
      <c r="F111" s="7"/>
      <c r="G111" s="7"/>
      <c r="I111" s="7"/>
      <c r="K111" s="7"/>
      <c r="L111" s="7"/>
      <c r="M111" s="7"/>
      <c r="O111" s="7"/>
      <c r="Q111" s="7"/>
      <c r="S111" s="7"/>
      <c r="U111" s="7"/>
      <c r="W111" s="7"/>
    </row>
    <row r="112">
      <c r="F112" s="7"/>
      <c r="G112" s="7"/>
      <c r="I112" s="7"/>
      <c r="K112" s="7"/>
      <c r="L112" s="7"/>
      <c r="M112" s="7"/>
      <c r="O112" s="7"/>
      <c r="Q112" s="7"/>
      <c r="S112" s="7"/>
      <c r="U112" s="7"/>
      <c r="W112" s="7"/>
    </row>
    <row r="113">
      <c r="F113" s="7"/>
      <c r="G113" s="7"/>
      <c r="I113" s="7"/>
      <c r="K113" s="7"/>
      <c r="L113" s="7"/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F115" s="7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F116" s="7"/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F117" s="7"/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F118" s="7"/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</sheetData>
  <mergeCells count="167"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7:L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8:L68"/>
    <mergeCell ref="H69:J69"/>
    <mergeCell ref="H70:J70"/>
    <mergeCell ref="H71:J71"/>
    <mergeCell ref="H72:J72"/>
    <mergeCell ref="H73:J73"/>
    <mergeCell ref="H82:J82"/>
    <mergeCell ref="H83:J83"/>
    <mergeCell ref="H84:J84"/>
    <mergeCell ref="H85:J85"/>
    <mergeCell ref="H86:J86"/>
    <mergeCell ref="H87:J87"/>
    <mergeCell ref="H88:J88"/>
    <mergeCell ref="H74:J74"/>
    <mergeCell ref="H75:J75"/>
    <mergeCell ref="H76:J76"/>
    <mergeCell ref="H77:J77"/>
    <mergeCell ref="H79:L79"/>
    <mergeCell ref="H80:J80"/>
    <mergeCell ref="H81:J81"/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6:L26"/>
    <mergeCell ref="H27:J27"/>
    <mergeCell ref="H28:J28"/>
    <mergeCell ref="H29:J29"/>
    <mergeCell ref="B81:D81"/>
    <mergeCell ref="B82:D82"/>
    <mergeCell ref="B83:D83"/>
    <mergeCell ref="B84:D84"/>
    <mergeCell ref="B85:D85"/>
    <mergeCell ref="B86:D86"/>
    <mergeCell ref="B87:D87"/>
    <mergeCell ref="B96:D96"/>
    <mergeCell ref="B97:D97"/>
    <mergeCell ref="B98:D98"/>
    <mergeCell ref="B99:D99"/>
    <mergeCell ref="B88:D88"/>
    <mergeCell ref="B90:F90"/>
    <mergeCell ref="B91:D91"/>
    <mergeCell ref="B92:D92"/>
    <mergeCell ref="B93:D93"/>
    <mergeCell ref="B94:D94"/>
    <mergeCell ref="B95:D95"/>
    <mergeCell ref="B21:D21"/>
    <mergeCell ref="B22:D22"/>
    <mergeCell ref="B23:D23"/>
    <mergeCell ref="B24:D24"/>
    <mergeCell ref="B26:F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55:D55"/>
    <mergeCell ref="B57:F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8:F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9:F79"/>
    <mergeCell ref="B80:D80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206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/>
      <c r="C6" s="27"/>
      <c r="D6" s="28"/>
      <c r="E6" s="38"/>
      <c r="F6" s="31"/>
      <c r="G6" s="32"/>
      <c r="H6" s="35" t="s">
        <v>207</v>
      </c>
      <c r="I6" s="27"/>
      <c r="J6" s="28"/>
      <c r="K6" s="36">
        <v>43587.0</v>
      </c>
      <c r="L6" s="3">
        <f>1+1.2+3</f>
        <v>5.2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36"/>
      <c r="F7" s="31"/>
      <c r="G7" s="37"/>
      <c r="H7" s="35" t="s">
        <v>135</v>
      </c>
      <c r="I7" s="27"/>
      <c r="J7" s="28"/>
      <c r="K7" s="36">
        <v>43588.0</v>
      </c>
      <c r="L7" s="3">
        <f>1+2.7</f>
        <v>3.7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208</v>
      </c>
      <c r="I8" s="27"/>
      <c r="J8" s="28"/>
      <c r="K8" s="36">
        <v>43589.0</v>
      </c>
      <c r="L8" s="3">
        <v>1.0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209</v>
      </c>
      <c r="I9" s="27"/>
      <c r="J9" s="28"/>
      <c r="K9" s="36">
        <v>43589.0</v>
      </c>
      <c r="L9" s="3">
        <v>3.5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210</v>
      </c>
      <c r="I10" s="27"/>
      <c r="J10" s="28"/>
      <c r="K10" s="36">
        <v>43589.0</v>
      </c>
      <c r="L10" s="3">
        <v>11.78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211</v>
      </c>
      <c r="I11" s="27"/>
      <c r="J11" s="28"/>
      <c r="K11" s="36">
        <v>43590.0</v>
      </c>
      <c r="L11" s="3">
        <v>6.0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212</v>
      </c>
      <c r="I12" s="27"/>
      <c r="J12" s="28"/>
      <c r="K12" s="36">
        <v>43591.0</v>
      </c>
      <c r="L12" s="3">
        <v>3.0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213</v>
      </c>
      <c r="I13" s="27"/>
      <c r="J13" s="28"/>
      <c r="K13" s="36">
        <v>43592.0</v>
      </c>
      <c r="L13" s="3">
        <f>1.5+1</f>
        <v>2.5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39</v>
      </c>
      <c r="I14" s="27"/>
      <c r="J14" s="28"/>
      <c r="K14" s="36">
        <v>43593.0</v>
      </c>
      <c r="L14" s="3">
        <v>1.0</v>
      </c>
      <c r="M14" s="7">
        <f>L6+L7+L9+L12+L13+L14+L15+L16+L18+L20+L21+L22+L23+L24+L25+L26+L27+L29+L30+L31</f>
        <v>58.61</v>
      </c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135</v>
      </c>
      <c r="I15" s="27"/>
      <c r="J15" s="28"/>
      <c r="K15" s="36">
        <v>43594.0</v>
      </c>
      <c r="L15" s="3">
        <f>1+1.1</f>
        <v>2.1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43596.0</v>
      </c>
      <c r="L16" s="3">
        <v>1.5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214</v>
      </c>
      <c r="I17" s="27"/>
      <c r="J17" s="28"/>
      <c r="K17" s="36">
        <v>43597.0</v>
      </c>
      <c r="L17" s="3">
        <f>6+2</f>
        <v>8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215</v>
      </c>
      <c r="I18" s="27"/>
      <c r="J18" s="28"/>
      <c r="K18" s="36">
        <v>43598.0</v>
      </c>
      <c r="L18" s="3">
        <f>1+4.28</f>
        <v>5.28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216</v>
      </c>
      <c r="I19" s="27"/>
      <c r="J19" s="28"/>
      <c r="K19" s="36">
        <v>43597.0</v>
      </c>
      <c r="L19" s="3">
        <v>7.8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135</v>
      </c>
      <c r="I20" s="27"/>
      <c r="J20" s="28"/>
      <c r="K20" s="36">
        <v>43599.0</v>
      </c>
      <c r="L20" s="3">
        <f t="shared" ref="L20:L21" si="1">1+1</f>
        <v>2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217</v>
      </c>
      <c r="I21" s="27"/>
      <c r="J21" s="28"/>
      <c r="K21" s="36">
        <v>43601.0</v>
      </c>
      <c r="L21" s="3">
        <f t="shared" si="1"/>
        <v>2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218</v>
      </c>
      <c r="I22" s="27"/>
      <c r="J22" s="28"/>
      <c r="K22" s="36">
        <v>43603.0</v>
      </c>
      <c r="L22" s="3">
        <v>3.0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219</v>
      </c>
      <c r="I23" s="27"/>
      <c r="J23" s="28"/>
      <c r="K23" s="36">
        <v>43605.0</v>
      </c>
      <c r="L23" s="3">
        <v>1.0</v>
      </c>
      <c r="M23" s="7"/>
      <c r="N23" s="41"/>
      <c r="O23" s="42"/>
      <c r="Q23" s="7"/>
      <c r="S23" s="7"/>
      <c r="U23" s="7"/>
      <c r="W23" s="7"/>
    </row>
    <row r="24">
      <c r="A24" s="33"/>
      <c r="B24" s="38"/>
      <c r="C24" s="38"/>
      <c r="D24" s="38"/>
      <c r="E24" s="38"/>
      <c r="F24" s="40"/>
      <c r="G24" s="37"/>
      <c r="H24" s="43" t="s">
        <v>220</v>
      </c>
      <c r="I24" s="27"/>
      <c r="J24" s="28"/>
      <c r="K24" s="36">
        <v>43606.0</v>
      </c>
      <c r="L24" s="3">
        <v>1.0</v>
      </c>
      <c r="M24" s="7"/>
      <c r="N24" s="41"/>
      <c r="O24" s="42"/>
      <c r="Q24" s="7"/>
      <c r="S24" s="7"/>
      <c r="U24" s="7"/>
      <c r="W24" s="7"/>
    </row>
    <row r="25">
      <c r="A25" s="33"/>
      <c r="B25" s="38"/>
      <c r="C25" s="38"/>
      <c r="D25" s="38"/>
      <c r="E25" s="38"/>
      <c r="F25" s="40"/>
      <c r="G25" s="37"/>
      <c r="H25" s="43" t="s">
        <v>221</v>
      </c>
      <c r="I25" s="27"/>
      <c r="J25" s="28"/>
      <c r="K25" s="36">
        <v>43607.0</v>
      </c>
      <c r="L25" s="3">
        <v>5.0</v>
      </c>
      <c r="M25" s="7"/>
      <c r="N25" s="41"/>
      <c r="O25" s="42"/>
      <c r="Q25" s="7"/>
      <c r="S25" s="7"/>
      <c r="U25" s="7"/>
      <c r="W25" s="7"/>
    </row>
    <row r="26">
      <c r="A26" s="33"/>
      <c r="B26" s="38"/>
      <c r="C26" s="38"/>
      <c r="D26" s="38"/>
      <c r="E26" s="38"/>
      <c r="F26" s="40"/>
      <c r="G26" s="37"/>
      <c r="H26" s="43" t="s">
        <v>222</v>
      </c>
      <c r="I26" s="27"/>
      <c r="J26" s="28"/>
      <c r="K26" s="36">
        <v>43608.0</v>
      </c>
      <c r="L26" s="3">
        <v>5.0</v>
      </c>
      <c r="M26" s="7"/>
      <c r="N26" s="41"/>
      <c r="O26" s="42"/>
      <c r="Q26" s="7"/>
      <c r="S26" s="7"/>
      <c r="U26" s="7"/>
      <c r="W26" s="7"/>
    </row>
    <row r="27">
      <c r="A27" s="33"/>
      <c r="B27" s="38"/>
      <c r="C27" s="38"/>
      <c r="D27" s="38"/>
      <c r="E27" s="38"/>
      <c r="F27" s="40"/>
      <c r="G27" s="37"/>
      <c r="H27" s="43" t="s">
        <v>223</v>
      </c>
      <c r="I27" s="27"/>
      <c r="J27" s="28"/>
      <c r="K27" s="36">
        <v>43609.0</v>
      </c>
      <c r="L27" s="3">
        <f>1+2.33+3</f>
        <v>6.33</v>
      </c>
      <c r="M27" s="7"/>
      <c r="N27" s="41"/>
      <c r="O27" s="42"/>
      <c r="Q27" s="7"/>
      <c r="S27" s="7"/>
      <c r="U27" s="7"/>
      <c r="W27" s="7"/>
    </row>
    <row r="28">
      <c r="A28" s="33"/>
      <c r="B28" s="38"/>
      <c r="C28" s="38"/>
      <c r="D28" s="38"/>
      <c r="E28" s="38"/>
      <c r="F28" s="40"/>
      <c r="G28" s="37"/>
      <c r="H28" s="43" t="s">
        <v>73</v>
      </c>
      <c r="I28" s="27"/>
      <c r="J28" s="28"/>
      <c r="K28" s="36">
        <v>43609.0</v>
      </c>
      <c r="L28" s="3">
        <v>10.0</v>
      </c>
      <c r="M28" s="7"/>
      <c r="N28" s="41"/>
      <c r="O28" s="42"/>
      <c r="Q28" s="7"/>
      <c r="S28" s="7"/>
      <c r="U28" s="7"/>
      <c r="W28" s="7"/>
    </row>
    <row r="29">
      <c r="A29" s="33"/>
      <c r="B29" s="38"/>
      <c r="C29" s="38"/>
      <c r="D29" s="38"/>
      <c r="E29" s="38"/>
      <c r="F29" s="40"/>
      <c r="G29" s="37"/>
      <c r="H29" s="43" t="s">
        <v>39</v>
      </c>
      <c r="I29" s="27"/>
      <c r="J29" s="28"/>
      <c r="K29" s="36">
        <v>43610.0</v>
      </c>
      <c r="L29" s="3">
        <v>3.0</v>
      </c>
      <c r="M29" s="7"/>
      <c r="N29" s="41"/>
      <c r="O29" s="42"/>
      <c r="Q29" s="7"/>
      <c r="S29" s="7"/>
      <c r="U29" s="7"/>
      <c r="W29" s="7"/>
    </row>
    <row r="30">
      <c r="A30" s="33"/>
      <c r="B30" s="38"/>
      <c r="C30" s="38"/>
      <c r="D30" s="38"/>
      <c r="E30" s="38"/>
      <c r="F30" s="40"/>
      <c r="G30" s="37"/>
      <c r="H30" s="43" t="s">
        <v>39</v>
      </c>
      <c r="I30" s="27"/>
      <c r="J30" s="28"/>
      <c r="K30" s="36">
        <v>43613.0</v>
      </c>
      <c r="L30" s="3">
        <v>1.5</v>
      </c>
      <c r="M30" s="7"/>
      <c r="N30" s="41"/>
      <c r="O30" s="42"/>
      <c r="Q30" s="7"/>
      <c r="S30" s="7"/>
      <c r="U30" s="7"/>
      <c r="W30" s="7"/>
    </row>
    <row r="31">
      <c r="A31" s="33"/>
      <c r="B31" s="38"/>
      <c r="C31" s="38"/>
      <c r="D31" s="38"/>
      <c r="E31" s="38"/>
      <c r="F31" s="40"/>
      <c r="G31" s="37"/>
      <c r="H31" s="43" t="s">
        <v>39</v>
      </c>
      <c r="I31" s="27"/>
      <c r="J31" s="28"/>
      <c r="K31" s="36">
        <v>43614.0</v>
      </c>
      <c r="L31" s="3">
        <v>1.0</v>
      </c>
      <c r="M31" s="7"/>
      <c r="N31" s="41"/>
      <c r="O31" s="42"/>
      <c r="Q31" s="7"/>
      <c r="S31" s="7"/>
      <c r="U31" s="7"/>
      <c r="W31" s="7"/>
    </row>
    <row r="32">
      <c r="A32" s="33"/>
      <c r="B32" s="38"/>
      <c r="C32" s="38"/>
      <c r="D32" s="38"/>
      <c r="E32" s="38"/>
      <c r="F32" s="40"/>
      <c r="G32" s="37"/>
      <c r="H32" s="43" t="s">
        <v>48</v>
      </c>
      <c r="I32" s="27"/>
      <c r="J32" s="28"/>
      <c r="K32" s="36">
        <v>43616.0</v>
      </c>
      <c r="L32" s="3">
        <v>2.5</v>
      </c>
      <c r="M32" s="7"/>
      <c r="N32" s="41"/>
      <c r="O32" s="42"/>
      <c r="Q32" s="7"/>
      <c r="S32" s="7"/>
      <c r="U32" s="7"/>
      <c r="W32" s="7"/>
    </row>
    <row r="33">
      <c r="A33" s="33"/>
      <c r="B33" s="38"/>
      <c r="C33" s="38"/>
      <c r="D33" s="38"/>
      <c r="E33" s="38"/>
      <c r="F33" s="40"/>
      <c r="G33" s="37"/>
      <c r="H33" s="43"/>
      <c r="I33" s="27"/>
      <c r="J33" s="28"/>
      <c r="K33" s="36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8"/>
      <c r="C34" s="38"/>
      <c r="D34" s="38"/>
      <c r="E34" s="38"/>
      <c r="F34" s="40"/>
      <c r="G34" s="37"/>
      <c r="H34" s="43"/>
      <c r="I34" s="27"/>
      <c r="J34" s="28"/>
      <c r="K34" s="36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8"/>
      <c r="C35" s="38"/>
      <c r="D35" s="38"/>
      <c r="E35" s="38"/>
      <c r="F35" s="40"/>
      <c r="G35" s="37"/>
      <c r="H35" s="43"/>
      <c r="I35" s="27"/>
      <c r="J35" s="28"/>
      <c r="K35" s="4"/>
      <c r="L35" s="3"/>
      <c r="M35" s="7"/>
      <c r="N35" s="41"/>
      <c r="O35" s="42"/>
      <c r="Q35" s="7"/>
      <c r="S35" s="7"/>
      <c r="U35" s="7"/>
      <c r="W35" s="7"/>
    </row>
    <row r="36">
      <c r="A36" s="2"/>
      <c r="B36" s="35" t="s">
        <v>17</v>
      </c>
      <c r="C36" s="27"/>
      <c r="D36" s="28"/>
      <c r="E36" s="45"/>
      <c r="F36" s="6">
        <f>SUM(F6:F12)</f>
        <v>0</v>
      </c>
      <c r="G36" s="7"/>
      <c r="H36" s="35" t="s">
        <v>17</v>
      </c>
      <c r="I36" s="27"/>
      <c r="J36" s="28"/>
      <c r="K36" s="6"/>
      <c r="L36" s="6">
        <f>SUM(L6:L35)</f>
        <v>105.69</v>
      </c>
      <c r="M36" s="7"/>
      <c r="N36" s="41"/>
      <c r="O36" s="20"/>
      <c r="Q36" s="7"/>
      <c r="S36" s="7"/>
      <c r="U36" s="7"/>
      <c r="W36" s="7"/>
    </row>
    <row r="37" ht="9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7"/>
      <c r="N37" s="46"/>
      <c r="O37" s="47"/>
      <c r="Q37" s="7"/>
      <c r="S37" s="7"/>
      <c r="U37" s="7"/>
      <c r="W37" s="7"/>
    </row>
    <row r="38">
      <c r="A38" s="25"/>
      <c r="B38" s="26" t="s">
        <v>26</v>
      </c>
      <c r="C38" s="27"/>
      <c r="D38" s="27"/>
      <c r="E38" s="27"/>
      <c r="F38" s="28"/>
      <c r="G38" s="25"/>
      <c r="H38" s="26" t="s">
        <v>25</v>
      </c>
      <c r="I38" s="27"/>
      <c r="J38" s="27"/>
      <c r="K38" s="27"/>
      <c r="L38" s="28"/>
      <c r="M38" s="7"/>
      <c r="N38" s="46"/>
      <c r="O38" s="47"/>
      <c r="Q38" s="7"/>
      <c r="S38" s="7"/>
      <c r="U38" s="7"/>
      <c r="W38" s="7"/>
    </row>
    <row r="39">
      <c r="A39" s="25"/>
      <c r="B39" s="26" t="s">
        <v>33</v>
      </c>
      <c r="C39" s="27"/>
      <c r="D39" s="28"/>
      <c r="E39" s="30" t="s">
        <v>34</v>
      </c>
      <c r="F39" s="31" t="s">
        <v>35</v>
      </c>
      <c r="G39" s="32"/>
      <c r="H39" s="26" t="s">
        <v>33</v>
      </c>
      <c r="I39" s="27"/>
      <c r="J39" s="28"/>
      <c r="K39" s="30" t="s">
        <v>34</v>
      </c>
      <c r="L39" s="31" t="s">
        <v>35</v>
      </c>
      <c r="M39" s="7"/>
      <c r="O39" s="7"/>
      <c r="Q39" s="7"/>
      <c r="S39" s="7"/>
      <c r="U39" s="7"/>
      <c r="W39" s="7"/>
    </row>
    <row r="40">
      <c r="A40" s="2"/>
      <c r="B40" s="35" t="s">
        <v>224</v>
      </c>
      <c r="C40" s="27"/>
      <c r="D40" s="28"/>
      <c r="E40" s="36">
        <v>43586.0</v>
      </c>
      <c r="F40" s="3">
        <v>5.0</v>
      </c>
      <c r="G40" s="5"/>
      <c r="H40" s="35" t="s">
        <v>225</v>
      </c>
      <c r="I40" s="27"/>
      <c r="J40" s="28"/>
      <c r="K40" s="48">
        <v>43586.0</v>
      </c>
      <c r="L40" s="49">
        <v>60.0</v>
      </c>
      <c r="M40" s="7"/>
      <c r="O40" s="7"/>
      <c r="Q40" s="7"/>
      <c r="S40" s="7"/>
      <c r="U40" s="7"/>
      <c r="W40" s="7"/>
    </row>
    <row r="41">
      <c r="A41" s="50"/>
      <c r="B41" s="35" t="s">
        <v>226</v>
      </c>
      <c r="C41" s="27"/>
      <c r="D41" s="28"/>
      <c r="E41" s="36">
        <v>43589.0</v>
      </c>
      <c r="F41" s="3">
        <v>64.0</v>
      </c>
      <c r="G41" s="7"/>
      <c r="H41" s="35" t="s">
        <v>194</v>
      </c>
      <c r="I41" s="27"/>
      <c r="J41" s="28"/>
      <c r="K41" s="36">
        <v>43588.0</v>
      </c>
      <c r="L41" s="49">
        <v>10.0</v>
      </c>
      <c r="M41" s="7"/>
      <c r="O41" s="7"/>
      <c r="Q41" s="7"/>
      <c r="S41" s="7"/>
      <c r="U41" s="7"/>
      <c r="W41" s="7"/>
    </row>
    <row r="42">
      <c r="A42" s="50"/>
      <c r="B42" s="35" t="s">
        <v>227</v>
      </c>
      <c r="C42" s="27"/>
      <c r="D42" s="28"/>
      <c r="E42" s="36">
        <v>43589.0</v>
      </c>
      <c r="F42" s="3">
        <v>20.0</v>
      </c>
      <c r="G42" s="7"/>
      <c r="H42" s="35" t="s">
        <v>228</v>
      </c>
      <c r="I42" s="27"/>
      <c r="J42" s="28"/>
      <c r="K42" s="36">
        <v>43589.0</v>
      </c>
      <c r="L42" s="49">
        <f>3.08+2.59+8.99+3.89</f>
        <v>18.55</v>
      </c>
      <c r="M42" s="7"/>
      <c r="O42" s="7"/>
      <c r="Q42" s="7"/>
      <c r="S42" s="7"/>
      <c r="U42" s="7"/>
      <c r="W42" s="7"/>
    </row>
    <row r="43">
      <c r="A43" s="50"/>
      <c r="B43" s="35" t="s">
        <v>229</v>
      </c>
      <c r="C43" s="27"/>
      <c r="D43" s="28"/>
      <c r="E43" s="36">
        <v>43589.0</v>
      </c>
      <c r="F43" s="3">
        <v>0.75</v>
      </c>
      <c r="G43" s="7"/>
      <c r="H43" s="35" t="s">
        <v>230</v>
      </c>
      <c r="I43" s="27"/>
      <c r="J43" s="28"/>
      <c r="K43" s="36">
        <v>43590.0</v>
      </c>
      <c r="L43" s="49">
        <v>3.69</v>
      </c>
      <c r="M43" s="7"/>
      <c r="O43" s="7"/>
      <c r="Q43" s="7"/>
      <c r="S43" s="7"/>
      <c r="U43" s="7"/>
      <c r="W43" s="7"/>
    </row>
    <row r="44">
      <c r="A44" s="50"/>
      <c r="B44" s="35" t="s">
        <v>61</v>
      </c>
      <c r="C44" s="27"/>
      <c r="D44" s="28"/>
      <c r="E44" s="36">
        <v>43590.0</v>
      </c>
      <c r="F44" s="3">
        <v>82.5</v>
      </c>
      <c r="G44" s="7"/>
      <c r="H44" s="35" t="s">
        <v>231</v>
      </c>
      <c r="I44" s="27"/>
      <c r="J44" s="28"/>
      <c r="K44" s="36">
        <v>43593.0</v>
      </c>
      <c r="L44" s="49">
        <v>1.8</v>
      </c>
      <c r="M44" s="7"/>
      <c r="O44" s="7"/>
      <c r="Q44" s="7"/>
      <c r="S44" s="7"/>
      <c r="U44" s="7"/>
      <c r="W44" s="7"/>
    </row>
    <row r="45">
      <c r="A45" s="50"/>
      <c r="B45" s="35" t="s">
        <v>232</v>
      </c>
      <c r="C45" s="27"/>
      <c r="D45" s="28"/>
      <c r="E45" s="36">
        <v>43590.0</v>
      </c>
      <c r="F45" s="3">
        <v>32.24</v>
      </c>
      <c r="G45" s="7"/>
      <c r="H45" s="35" t="s">
        <v>233</v>
      </c>
      <c r="I45" s="27"/>
      <c r="J45" s="28"/>
      <c r="K45" s="48">
        <v>43594.0</v>
      </c>
      <c r="L45" s="49">
        <v>2.5</v>
      </c>
      <c r="M45" s="7"/>
      <c r="O45" s="7"/>
      <c r="P45" s="2"/>
      <c r="Q45" s="7"/>
      <c r="S45" s="7"/>
      <c r="U45" s="7"/>
      <c r="W45" s="7"/>
    </row>
    <row r="46">
      <c r="A46" s="50"/>
      <c r="B46" s="35" t="s">
        <v>234</v>
      </c>
      <c r="C46" s="27"/>
      <c r="D46" s="28"/>
      <c r="E46" s="36">
        <v>43590.0</v>
      </c>
      <c r="F46" s="3">
        <v>19.0</v>
      </c>
      <c r="G46" s="7"/>
      <c r="H46" s="35" t="s">
        <v>235</v>
      </c>
      <c r="I46" s="27"/>
      <c r="J46" s="28"/>
      <c r="K46" s="36">
        <v>43595.0</v>
      </c>
      <c r="L46" s="49">
        <v>61.0</v>
      </c>
      <c r="M46" s="7"/>
      <c r="O46" s="7"/>
      <c r="Q46" s="7"/>
      <c r="S46" s="7"/>
      <c r="U46" s="7"/>
      <c r="W46" s="7"/>
    </row>
    <row r="47">
      <c r="A47" s="50"/>
      <c r="B47" s="35" t="s">
        <v>61</v>
      </c>
      <c r="C47" s="27"/>
      <c r="D47" s="28"/>
      <c r="E47" s="36">
        <v>43595.0</v>
      </c>
      <c r="F47" s="3">
        <v>93.5</v>
      </c>
      <c r="G47" s="7"/>
      <c r="H47" s="35" t="s">
        <v>73</v>
      </c>
      <c r="I47" s="27"/>
      <c r="J47" s="28"/>
      <c r="K47" s="36">
        <v>43595.0</v>
      </c>
      <c r="L47" s="49">
        <v>10.0</v>
      </c>
      <c r="M47" s="7"/>
      <c r="O47" s="7"/>
      <c r="Q47" s="7"/>
      <c r="S47" s="7"/>
      <c r="U47" s="7"/>
      <c r="W47" s="7"/>
    </row>
    <row r="48">
      <c r="A48" s="50"/>
      <c r="B48" s="35" t="s">
        <v>236</v>
      </c>
      <c r="C48" s="27"/>
      <c r="D48" s="28"/>
      <c r="E48" s="36">
        <v>43597.0</v>
      </c>
      <c r="F48" s="3">
        <v>12.0</v>
      </c>
      <c r="G48" s="7"/>
      <c r="H48" s="35" t="s">
        <v>233</v>
      </c>
      <c r="I48" s="27"/>
      <c r="J48" s="28"/>
      <c r="K48" s="36">
        <v>43598.0</v>
      </c>
      <c r="L48" s="49">
        <v>5.5</v>
      </c>
      <c r="M48" s="7"/>
      <c r="O48" s="7"/>
      <c r="Q48" s="7"/>
      <c r="S48" s="7"/>
      <c r="U48" s="7"/>
      <c r="W48" s="7"/>
    </row>
    <row r="49">
      <c r="A49" s="50"/>
      <c r="B49" s="35" t="s">
        <v>237</v>
      </c>
      <c r="C49" s="27"/>
      <c r="D49" s="28"/>
      <c r="E49" s="36">
        <v>43597.0</v>
      </c>
      <c r="F49" s="3">
        <v>7.0</v>
      </c>
      <c r="G49" s="7"/>
      <c r="H49" s="35" t="s">
        <v>238</v>
      </c>
      <c r="I49" s="27"/>
      <c r="J49" s="28"/>
      <c r="K49" s="36">
        <v>43603.0</v>
      </c>
      <c r="L49" s="49">
        <v>16.0</v>
      </c>
      <c r="M49" s="7"/>
      <c r="O49" s="7"/>
      <c r="Q49" s="7"/>
      <c r="S49" s="7"/>
      <c r="U49" s="7"/>
      <c r="W49" s="7"/>
    </row>
    <row r="50">
      <c r="A50" s="50"/>
      <c r="B50" s="35" t="s">
        <v>239</v>
      </c>
      <c r="C50" s="27"/>
      <c r="D50" s="28"/>
      <c r="E50" s="36">
        <v>43599.0</v>
      </c>
      <c r="F50" s="3">
        <v>14.0</v>
      </c>
      <c r="G50" s="7"/>
      <c r="H50" s="35" t="s">
        <v>240</v>
      </c>
      <c r="I50" s="27"/>
      <c r="J50" s="28"/>
      <c r="K50" s="36">
        <v>43610.0</v>
      </c>
      <c r="L50" s="49">
        <v>2.79</v>
      </c>
      <c r="M50" s="7"/>
      <c r="O50" s="7"/>
      <c r="Q50" s="7"/>
      <c r="S50" s="7"/>
      <c r="U50" s="7"/>
      <c r="W50" s="7"/>
    </row>
    <row r="51">
      <c r="A51" s="50"/>
      <c r="B51" s="35" t="s">
        <v>241</v>
      </c>
      <c r="C51" s="27"/>
      <c r="D51" s="28"/>
      <c r="E51" s="36">
        <v>43602.0</v>
      </c>
      <c r="F51" s="3">
        <v>0.6</v>
      </c>
      <c r="G51" s="7"/>
      <c r="H51" s="35" t="s">
        <v>242</v>
      </c>
      <c r="I51" s="27"/>
      <c r="J51" s="28"/>
      <c r="K51" s="36">
        <v>43612.0</v>
      </c>
      <c r="L51" s="49">
        <v>7.69</v>
      </c>
      <c r="M51" s="7"/>
      <c r="O51" s="7"/>
      <c r="Q51" s="7"/>
      <c r="S51" s="7"/>
      <c r="U51" s="7"/>
      <c r="W51" s="7"/>
    </row>
    <row r="52">
      <c r="A52" s="50"/>
      <c r="B52" s="35" t="s">
        <v>243</v>
      </c>
      <c r="C52" s="27"/>
      <c r="D52" s="28"/>
      <c r="E52" s="36">
        <v>43602.0</v>
      </c>
      <c r="F52" s="3">
        <v>13.0</v>
      </c>
      <c r="G52" s="7"/>
      <c r="H52" s="35" t="s">
        <v>194</v>
      </c>
      <c r="I52" s="27"/>
      <c r="J52" s="28"/>
      <c r="K52" s="36">
        <v>43615.0</v>
      </c>
      <c r="L52" s="49">
        <v>12.0</v>
      </c>
      <c r="M52" s="7"/>
      <c r="O52" s="7"/>
      <c r="Q52" s="7"/>
      <c r="S52" s="7"/>
      <c r="U52" s="7"/>
      <c r="W52" s="7"/>
    </row>
    <row r="53">
      <c r="A53" s="50"/>
      <c r="B53" s="35" t="s">
        <v>61</v>
      </c>
      <c r="C53" s="27"/>
      <c r="D53" s="28"/>
      <c r="E53" s="36">
        <v>43604.0</v>
      </c>
      <c r="F53" s="3">
        <v>77.0</v>
      </c>
      <c r="G53" s="7"/>
      <c r="H53" s="52"/>
      <c r="I53" s="27"/>
      <c r="J53" s="28"/>
      <c r="K53" s="6"/>
      <c r="L53" s="51"/>
      <c r="M53" s="7"/>
      <c r="O53" s="7"/>
      <c r="Q53" s="7"/>
      <c r="S53" s="7"/>
      <c r="U53" s="7"/>
      <c r="W53" s="7"/>
    </row>
    <row r="54">
      <c r="A54" s="50"/>
      <c r="B54" s="35" t="s">
        <v>244</v>
      </c>
      <c r="C54" s="27"/>
      <c r="D54" s="28"/>
      <c r="E54" s="36">
        <v>43609.0</v>
      </c>
      <c r="F54" s="3">
        <v>2.0</v>
      </c>
      <c r="G54" s="7"/>
      <c r="H54" s="52"/>
      <c r="I54" s="27"/>
      <c r="J54" s="28"/>
      <c r="K54" s="6"/>
      <c r="L54" s="51"/>
      <c r="M54" s="7"/>
      <c r="O54" s="7"/>
      <c r="Q54" s="7"/>
      <c r="S54" s="7"/>
      <c r="U54" s="7"/>
      <c r="W54" s="7"/>
    </row>
    <row r="55">
      <c r="A55" s="50"/>
      <c r="B55" s="35" t="s">
        <v>77</v>
      </c>
      <c r="C55" s="27"/>
      <c r="D55" s="28"/>
      <c r="E55" s="36">
        <v>43614.0</v>
      </c>
      <c r="F55" s="3">
        <v>73.5</v>
      </c>
      <c r="G55" s="7"/>
      <c r="H55" s="45"/>
      <c r="I55" s="45"/>
      <c r="J55" s="45"/>
      <c r="K55" s="6"/>
      <c r="L55" s="51"/>
      <c r="M55" s="7">
        <f>F55/3</f>
        <v>24.5</v>
      </c>
      <c r="O55" s="7"/>
      <c r="Q55" s="7"/>
      <c r="S55" s="7"/>
      <c r="U55" s="7"/>
      <c r="W55" s="7"/>
    </row>
    <row r="56">
      <c r="A56" s="50"/>
      <c r="B56" s="35" t="s">
        <v>245</v>
      </c>
      <c r="C56" s="27"/>
      <c r="D56" s="28"/>
      <c r="E56" s="36">
        <v>43614.0</v>
      </c>
      <c r="F56" s="3">
        <v>60.0</v>
      </c>
      <c r="G56" s="7"/>
      <c r="H56" s="45"/>
      <c r="I56" s="45"/>
      <c r="J56" s="45"/>
      <c r="K56" s="6"/>
      <c r="L56" s="51"/>
      <c r="M56" s="7">
        <f>M55+26.25</f>
        <v>50.75</v>
      </c>
      <c r="O56" s="7"/>
      <c r="Q56" s="7"/>
      <c r="S56" s="7"/>
      <c r="U56" s="7"/>
      <c r="W56" s="7"/>
    </row>
    <row r="57">
      <c r="A57" s="50"/>
      <c r="B57" s="35" t="s">
        <v>246</v>
      </c>
      <c r="C57" s="27"/>
      <c r="D57" s="28"/>
      <c r="E57" s="36">
        <v>43616.0</v>
      </c>
      <c r="F57" s="3">
        <v>29.65</v>
      </c>
      <c r="G57" s="7"/>
      <c r="H57" s="45"/>
      <c r="I57" s="45"/>
      <c r="J57" s="45"/>
      <c r="K57" s="6"/>
      <c r="L57" s="51"/>
      <c r="M57" s="7"/>
      <c r="O57" s="7"/>
      <c r="Q57" s="7"/>
      <c r="S57" s="7"/>
      <c r="U57" s="7"/>
      <c r="W57" s="7"/>
    </row>
    <row r="58">
      <c r="A58" s="2"/>
      <c r="B58" s="35" t="s">
        <v>17</v>
      </c>
      <c r="C58" s="27"/>
      <c r="D58" s="28"/>
      <c r="E58" s="45"/>
      <c r="F58" s="6">
        <f>SUM(F40:F57)</f>
        <v>605.74</v>
      </c>
      <c r="G58" s="7"/>
      <c r="H58" s="52"/>
      <c r="I58" s="27"/>
      <c r="J58" s="28"/>
      <c r="K58" s="6"/>
      <c r="L58" s="6">
        <f>SUM(L40:L54)</f>
        <v>211.52</v>
      </c>
      <c r="M58" s="7"/>
      <c r="O58" s="7"/>
      <c r="Q58" s="7"/>
      <c r="S58" s="7"/>
      <c r="U58" s="7"/>
      <c r="W58" s="7"/>
    </row>
    <row r="59">
      <c r="A59" s="50"/>
      <c r="B59" s="50"/>
      <c r="C59" s="7"/>
      <c r="F59" s="7"/>
      <c r="G59" s="7"/>
      <c r="I59" s="7"/>
      <c r="K59" s="7"/>
      <c r="L59" s="7"/>
      <c r="M59" s="7"/>
      <c r="O59" s="7"/>
      <c r="Q59" s="7"/>
      <c r="S59" s="7"/>
      <c r="U59" s="7"/>
      <c r="W59" s="7"/>
    </row>
    <row r="60">
      <c r="A60" s="25"/>
      <c r="B60" s="26" t="s">
        <v>24</v>
      </c>
      <c r="C60" s="27"/>
      <c r="D60" s="27"/>
      <c r="E60" s="27"/>
      <c r="F60" s="28"/>
      <c r="G60" s="7"/>
      <c r="H60" s="26" t="s">
        <v>19</v>
      </c>
      <c r="I60" s="27"/>
      <c r="J60" s="27"/>
      <c r="K60" s="27"/>
      <c r="L60" s="28"/>
      <c r="M60" s="7"/>
      <c r="O60" s="7"/>
      <c r="Q60" s="7"/>
      <c r="S60" s="7"/>
      <c r="U60" s="7"/>
      <c r="W60" s="7"/>
    </row>
    <row r="61">
      <c r="A61" s="25"/>
      <c r="B61" s="26" t="s">
        <v>33</v>
      </c>
      <c r="C61" s="27"/>
      <c r="D61" s="28"/>
      <c r="E61" s="30" t="s">
        <v>34</v>
      </c>
      <c r="F61" s="31" t="s">
        <v>35</v>
      </c>
      <c r="G61" s="7"/>
      <c r="H61" s="26" t="s">
        <v>33</v>
      </c>
      <c r="I61" s="27"/>
      <c r="J61" s="28"/>
      <c r="K61" s="30" t="s">
        <v>34</v>
      </c>
      <c r="L61" s="31" t="s">
        <v>35</v>
      </c>
      <c r="M61" s="7"/>
      <c r="O61" s="7"/>
      <c r="Q61" s="7"/>
      <c r="S61" s="7"/>
      <c r="U61" s="7"/>
      <c r="W61" s="7"/>
    </row>
    <row r="62">
      <c r="A62" s="2"/>
      <c r="B62" s="35"/>
      <c r="C62" s="27"/>
      <c r="D62" s="28"/>
      <c r="E62" s="36"/>
      <c r="F62" s="3"/>
      <c r="G62" s="7"/>
      <c r="H62" s="35" t="s">
        <v>247</v>
      </c>
      <c r="I62" s="27"/>
      <c r="J62" s="28"/>
      <c r="K62" s="36">
        <v>43602.0</v>
      </c>
      <c r="L62" s="3">
        <v>50.0</v>
      </c>
      <c r="M62" s="7"/>
      <c r="O62" s="7"/>
      <c r="Q62" s="7"/>
      <c r="S62" s="7"/>
      <c r="U62" s="7"/>
      <c r="W62" s="7"/>
    </row>
    <row r="63">
      <c r="A63" s="50"/>
      <c r="B63" s="35"/>
      <c r="C63" s="27"/>
      <c r="D63" s="28"/>
      <c r="E63" s="36"/>
      <c r="F63" s="3"/>
      <c r="G63" s="7"/>
      <c r="H63" s="35"/>
      <c r="I63" s="27"/>
      <c r="J63" s="28"/>
      <c r="K63" s="36"/>
      <c r="L63" s="3"/>
      <c r="M63" s="7"/>
      <c r="O63" s="7"/>
      <c r="Q63" s="7"/>
      <c r="S63" s="7"/>
      <c r="U63" s="7"/>
      <c r="W63" s="7"/>
    </row>
    <row r="64">
      <c r="A64" s="50"/>
      <c r="B64" s="53"/>
      <c r="C64" s="27"/>
      <c r="D64" s="28"/>
      <c r="E64" s="45"/>
      <c r="F64" s="6"/>
      <c r="G64" s="7"/>
      <c r="H64" s="35"/>
      <c r="I64" s="27"/>
      <c r="J64" s="28"/>
      <c r="K64" s="36"/>
      <c r="L64" s="3"/>
      <c r="M64" s="7"/>
      <c r="O64" s="7"/>
      <c r="Q64" s="7"/>
      <c r="S64" s="7"/>
      <c r="U64" s="7"/>
      <c r="W64" s="7"/>
    </row>
    <row r="65">
      <c r="A65" s="50"/>
      <c r="B65" s="53"/>
      <c r="C65" s="27"/>
      <c r="D65" s="28"/>
      <c r="E65" s="45"/>
      <c r="F65" s="6"/>
      <c r="G65" s="7"/>
      <c r="H65" s="35"/>
      <c r="I65" s="27"/>
      <c r="J65" s="28"/>
      <c r="K65" s="36"/>
      <c r="L65" s="3"/>
      <c r="M65" s="7"/>
      <c r="O65" s="7"/>
      <c r="Q65" s="7"/>
      <c r="S65" s="7"/>
      <c r="U65" s="7"/>
      <c r="W65" s="7"/>
    </row>
    <row r="66">
      <c r="A66" s="50"/>
      <c r="B66" s="53"/>
      <c r="C66" s="27"/>
      <c r="D66" s="28"/>
      <c r="E66" s="45"/>
      <c r="F66" s="6"/>
      <c r="G66" s="7"/>
      <c r="H66" s="53"/>
      <c r="I66" s="27"/>
      <c r="J66" s="28"/>
      <c r="K66" s="45"/>
      <c r="L66" s="6"/>
      <c r="M66" s="7"/>
      <c r="O66" s="7"/>
      <c r="Q66" s="7"/>
      <c r="S66" s="7"/>
      <c r="U66" s="7"/>
      <c r="W66" s="7"/>
    </row>
    <row r="67">
      <c r="A67" s="50"/>
      <c r="B67" s="53"/>
      <c r="C67" s="27"/>
      <c r="D67" s="28"/>
      <c r="E67" s="45"/>
      <c r="F67" s="6"/>
      <c r="G67" s="7"/>
      <c r="H67" s="53"/>
      <c r="I67" s="27"/>
      <c r="J67" s="28"/>
      <c r="K67" s="45"/>
      <c r="L67" s="6"/>
      <c r="M67" s="7"/>
      <c r="O67" s="7"/>
      <c r="Q67" s="7"/>
      <c r="S67" s="7"/>
      <c r="U67" s="7"/>
      <c r="W67" s="7"/>
    </row>
    <row r="68">
      <c r="A68" s="50"/>
      <c r="B68" s="53"/>
      <c r="C68" s="27"/>
      <c r="D68" s="28"/>
      <c r="E68" s="45"/>
      <c r="F68" s="6"/>
      <c r="G68" s="7"/>
      <c r="H68" s="53"/>
      <c r="I68" s="27"/>
      <c r="J68" s="28"/>
      <c r="K68" s="45"/>
      <c r="L68" s="6"/>
      <c r="M68" s="7"/>
      <c r="O68" s="7"/>
      <c r="Q68" s="7"/>
      <c r="S68" s="7"/>
      <c r="U68" s="7"/>
      <c r="W68" s="7"/>
    </row>
    <row r="69">
      <c r="A69" s="2"/>
      <c r="B69" s="35" t="s">
        <v>17</v>
      </c>
      <c r="C69" s="27"/>
      <c r="D69" s="28"/>
      <c r="E69" s="45"/>
      <c r="F69" s="6">
        <f>SUM(F62:F68)</f>
        <v>0</v>
      </c>
      <c r="G69" s="7"/>
      <c r="H69" s="35" t="s">
        <v>17</v>
      </c>
      <c r="I69" s="27"/>
      <c r="J69" s="28"/>
      <c r="K69" s="45"/>
      <c r="L69" s="6">
        <f>SUM(L62:L68)</f>
        <v>50</v>
      </c>
      <c r="M69" s="7"/>
      <c r="O69" s="7"/>
      <c r="Q69" s="7"/>
      <c r="S69" s="7"/>
      <c r="U69" s="7"/>
      <c r="W69" s="7"/>
    </row>
    <row r="70">
      <c r="F70" s="7"/>
      <c r="G70" s="7"/>
      <c r="I70" s="7"/>
      <c r="K70" s="7"/>
      <c r="L70" s="7"/>
      <c r="M70" s="7"/>
      <c r="O70" s="7"/>
      <c r="Q70" s="7"/>
      <c r="S70" s="7"/>
      <c r="U70" s="7"/>
      <c r="W70" s="7"/>
    </row>
    <row r="71">
      <c r="A71" s="25"/>
      <c r="B71" s="26" t="s">
        <v>21</v>
      </c>
      <c r="C71" s="27"/>
      <c r="D71" s="27"/>
      <c r="E71" s="27"/>
      <c r="F71" s="28"/>
      <c r="G71" s="7"/>
      <c r="H71" s="26" t="s">
        <v>20</v>
      </c>
      <c r="I71" s="27"/>
      <c r="J71" s="27"/>
      <c r="K71" s="27"/>
      <c r="L71" s="28"/>
      <c r="M71" s="7"/>
      <c r="O71" s="7"/>
      <c r="Q71" s="7"/>
      <c r="S71" s="7"/>
      <c r="U71" s="7"/>
      <c r="W71" s="7"/>
    </row>
    <row r="72">
      <c r="A72" s="25"/>
      <c r="B72" s="26" t="s">
        <v>33</v>
      </c>
      <c r="C72" s="27"/>
      <c r="D72" s="28"/>
      <c r="E72" s="30" t="s">
        <v>34</v>
      </c>
      <c r="F72" s="31" t="s">
        <v>35</v>
      </c>
      <c r="G72" s="7"/>
      <c r="H72" s="26" t="s">
        <v>33</v>
      </c>
      <c r="I72" s="27"/>
      <c r="J72" s="28"/>
      <c r="K72" s="30" t="s">
        <v>34</v>
      </c>
      <c r="L72" s="31" t="s">
        <v>35</v>
      </c>
      <c r="M72" s="7"/>
      <c r="O72" s="7"/>
      <c r="Q72" s="7"/>
      <c r="S72" s="7"/>
      <c r="U72" s="7"/>
      <c r="W72" s="7"/>
    </row>
    <row r="73">
      <c r="A73" s="2"/>
      <c r="B73" s="35"/>
      <c r="C73" s="27"/>
      <c r="D73" s="28"/>
      <c r="E73" s="36"/>
      <c r="F73" s="3"/>
      <c r="G73" s="7"/>
      <c r="H73" s="35"/>
      <c r="I73" s="27"/>
      <c r="J73" s="28"/>
      <c r="K73" s="36"/>
      <c r="L73" s="3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45"/>
      <c r="L74" s="6"/>
      <c r="M74" s="7"/>
      <c r="O74" s="7"/>
      <c r="Q74" s="7"/>
      <c r="S74" s="7"/>
      <c r="U74" s="7"/>
      <c r="W74" s="7"/>
    </row>
    <row r="75">
      <c r="A75" s="50"/>
      <c r="B75" s="53"/>
      <c r="C75" s="27"/>
      <c r="D75" s="28"/>
      <c r="E75" s="45"/>
      <c r="F75" s="6"/>
      <c r="G75" s="7"/>
      <c r="H75" s="53"/>
      <c r="I75" s="27"/>
      <c r="J75" s="28"/>
      <c r="K75" s="45"/>
      <c r="L75" s="6"/>
      <c r="M75" s="7"/>
      <c r="O75" s="7"/>
      <c r="Q75" s="7"/>
      <c r="S75" s="7"/>
      <c r="U75" s="7"/>
      <c r="W75" s="7"/>
    </row>
    <row r="76">
      <c r="A76" s="50"/>
      <c r="B76" s="53"/>
      <c r="C76" s="27"/>
      <c r="D76" s="28"/>
      <c r="E76" s="45"/>
      <c r="F76" s="6"/>
      <c r="G76" s="7"/>
      <c r="H76" s="53"/>
      <c r="I76" s="27"/>
      <c r="J76" s="28"/>
      <c r="K76" s="45"/>
      <c r="L76" s="6"/>
      <c r="M76" s="7"/>
      <c r="O76" s="7"/>
      <c r="Q76" s="7"/>
      <c r="S76" s="7"/>
      <c r="U76" s="7"/>
      <c r="W76" s="7"/>
    </row>
    <row r="77">
      <c r="A77" s="50"/>
      <c r="B77" s="53"/>
      <c r="C77" s="27"/>
      <c r="D77" s="28"/>
      <c r="E77" s="45"/>
      <c r="F77" s="6"/>
      <c r="G77" s="7"/>
      <c r="H77" s="53"/>
      <c r="I77" s="27"/>
      <c r="J77" s="28"/>
      <c r="K77" s="45"/>
      <c r="L77" s="6"/>
      <c r="M77" s="7"/>
      <c r="O77" s="7"/>
      <c r="Q77" s="7"/>
      <c r="S77" s="7"/>
      <c r="U77" s="7"/>
      <c r="W77" s="7"/>
    </row>
    <row r="78">
      <c r="A78" s="50"/>
      <c r="B78" s="53"/>
      <c r="C78" s="27"/>
      <c r="D78" s="28"/>
      <c r="E78" s="45"/>
      <c r="F78" s="6"/>
      <c r="G78" s="7"/>
      <c r="H78" s="53"/>
      <c r="I78" s="27"/>
      <c r="J78" s="28"/>
      <c r="K78" s="45"/>
      <c r="L78" s="6"/>
      <c r="M78" s="7"/>
      <c r="O78" s="7"/>
      <c r="Q78" s="7"/>
      <c r="S78" s="7"/>
      <c r="U78" s="7"/>
      <c r="W78" s="7"/>
    </row>
    <row r="79">
      <c r="A79" s="50"/>
      <c r="B79" s="53"/>
      <c r="C79" s="27"/>
      <c r="D79" s="28"/>
      <c r="E79" s="45"/>
      <c r="F79" s="6"/>
      <c r="G79" s="7"/>
      <c r="H79" s="53"/>
      <c r="I79" s="27"/>
      <c r="J79" s="28"/>
      <c r="K79" s="45"/>
      <c r="L79" s="6"/>
      <c r="M79" s="7"/>
      <c r="O79" s="7"/>
      <c r="Q79" s="7"/>
      <c r="S79" s="7"/>
      <c r="U79" s="7"/>
      <c r="W79" s="7"/>
    </row>
    <row r="80">
      <c r="A80" s="2"/>
      <c r="B80" s="35" t="s">
        <v>17</v>
      </c>
      <c r="C80" s="27"/>
      <c r="D80" s="28"/>
      <c r="E80" s="45"/>
      <c r="F80" s="6">
        <f>SUM(F73:F79)</f>
        <v>0</v>
      </c>
      <c r="G80" s="7"/>
      <c r="H80" s="35" t="s">
        <v>17</v>
      </c>
      <c r="I80" s="27"/>
      <c r="J80" s="28"/>
      <c r="K80" s="45"/>
      <c r="L80" s="6">
        <f>SUM(L73:L79)</f>
        <v>0</v>
      </c>
      <c r="M80" s="7"/>
      <c r="O80" s="7"/>
      <c r="Q80" s="7"/>
      <c r="S80" s="7"/>
      <c r="U80" s="7"/>
      <c r="W80" s="7"/>
    </row>
    <row r="81">
      <c r="F81" s="7"/>
      <c r="G81" s="7"/>
      <c r="I81" s="7"/>
      <c r="K81" s="7"/>
      <c r="L81" s="7"/>
      <c r="M81" s="7"/>
      <c r="O81" s="7"/>
      <c r="Q81" s="7"/>
      <c r="S81" s="7"/>
      <c r="U81" s="7"/>
      <c r="W81" s="7"/>
    </row>
    <row r="82">
      <c r="A82" s="25"/>
      <c r="B82" s="26" t="s">
        <v>22</v>
      </c>
      <c r="C82" s="27"/>
      <c r="D82" s="27"/>
      <c r="E82" s="27"/>
      <c r="F82" s="28"/>
      <c r="G82" s="7"/>
      <c r="H82" s="26" t="s">
        <v>248</v>
      </c>
      <c r="I82" s="27"/>
      <c r="J82" s="27"/>
      <c r="K82" s="27"/>
      <c r="L82" s="28"/>
      <c r="M82" s="7"/>
      <c r="O82" s="7"/>
      <c r="Q82" s="7"/>
      <c r="S82" s="7"/>
      <c r="U82" s="7"/>
      <c r="W82" s="7"/>
    </row>
    <row r="83">
      <c r="A83" s="25"/>
      <c r="B83" s="26" t="s">
        <v>33</v>
      </c>
      <c r="C83" s="27"/>
      <c r="D83" s="28"/>
      <c r="E83" s="30" t="s">
        <v>34</v>
      </c>
      <c r="F83" s="31" t="s">
        <v>35</v>
      </c>
      <c r="G83" s="7"/>
      <c r="H83" s="26" t="s">
        <v>33</v>
      </c>
      <c r="I83" s="27"/>
      <c r="J83" s="28"/>
      <c r="K83" s="30" t="s">
        <v>34</v>
      </c>
      <c r="L83" s="31" t="s">
        <v>35</v>
      </c>
      <c r="M83" s="7"/>
      <c r="O83" s="7"/>
      <c r="Q83" s="7"/>
      <c r="S83" s="7"/>
      <c r="U83" s="7"/>
      <c r="W83" s="7"/>
    </row>
    <row r="84">
      <c r="A84" s="2"/>
      <c r="B84" s="35"/>
      <c r="C84" s="27"/>
      <c r="D84" s="28"/>
      <c r="E84" s="36"/>
      <c r="F84" s="3"/>
      <c r="G84" s="7"/>
      <c r="H84" s="35" t="s">
        <v>249</v>
      </c>
      <c r="I84" s="27"/>
      <c r="J84" s="28"/>
      <c r="K84" s="36">
        <v>43590.0</v>
      </c>
      <c r="L84" s="3">
        <v>4.0</v>
      </c>
      <c r="M84" s="7"/>
      <c r="O84" s="7"/>
      <c r="Q84" s="7"/>
      <c r="S84" s="7"/>
      <c r="U84" s="7"/>
      <c r="W84" s="7"/>
    </row>
    <row r="85">
      <c r="A85" s="50"/>
      <c r="B85" s="35"/>
      <c r="C85" s="27"/>
      <c r="D85" s="28"/>
      <c r="E85" s="36"/>
      <c r="F85" s="3"/>
      <c r="G85" s="7"/>
      <c r="H85" s="35" t="s">
        <v>250</v>
      </c>
      <c r="I85" s="27"/>
      <c r="J85" s="28"/>
      <c r="K85" s="36">
        <v>43591.0</v>
      </c>
      <c r="L85" s="3">
        <v>30.0</v>
      </c>
      <c r="M85" s="7"/>
      <c r="O85" s="7"/>
      <c r="Q85" s="7"/>
      <c r="S85" s="7"/>
      <c r="U85" s="7"/>
      <c r="W85" s="7"/>
    </row>
    <row r="86">
      <c r="A86" s="50"/>
      <c r="B86" s="53"/>
      <c r="C86" s="27"/>
      <c r="D86" s="28"/>
      <c r="E86" s="45"/>
      <c r="F86" s="6"/>
      <c r="G86" s="7"/>
      <c r="H86" s="35"/>
      <c r="I86" s="27"/>
      <c r="J86" s="28"/>
      <c r="K86" s="36"/>
      <c r="L86" s="3"/>
      <c r="M86" s="7"/>
      <c r="O86" s="7"/>
      <c r="Q86" s="7"/>
      <c r="S86" s="7"/>
      <c r="U86" s="7"/>
      <c r="W86" s="7"/>
    </row>
    <row r="87">
      <c r="A87" s="50"/>
      <c r="B87" s="53"/>
      <c r="C87" s="27"/>
      <c r="D87" s="28"/>
      <c r="E87" s="45"/>
      <c r="F87" s="6"/>
      <c r="G87" s="7"/>
      <c r="H87" s="35"/>
      <c r="I87" s="27"/>
      <c r="J87" s="28"/>
      <c r="K87" s="36"/>
      <c r="L87" s="3"/>
      <c r="M87" s="7"/>
      <c r="O87" s="7"/>
      <c r="Q87" s="7"/>
      <c r="S87" s="7"/>
      <c r="U87" s="7"/>
      <c r="W87" s="7"/>
    </row>
    <row r="88">
      <c r="A88" s="50"/>
      <c r="B88" s="53"/>
      <c r="C88" s="27"/>
      <c r="D88" s="28"/>
      <c r="E88" s="45"/>
      <c r="F88" s="6"/>
      <c r="G88" s="7"/>
      <c r="H88" s="35"/>
      <c r="I88" s="27"/>
      <c r="J88" s="28"/>
      <c r="K88" s="36"/>
      <c r="L88" s="6"/>
      <c r="M88" s="7"/>
      <c r="O88" s="7"/>
      <c r="Q88" s="7"/>
      <c r="S88" s="7"/>
      <c r="U88" s="7"/>
      <c r="W88" s="7"/>
    </row>
    <row r="89">
      <c r="A89" s="50"/>
      <c r="B89" s="53"/>
      <c r="C89" s="27"/>
      <c r="D89" s="28"/>
      <c r="E89" s="45"/>
      <c r="F89" s="6"/>
      <c r="G89" s="7"/>
      <c r="H89" s="35"/>
      <c r="I89" s="27"/>
      <c r="J89" s="28"/>
      <c r="K89" s="36"/>
      <c r="L89" s="3"/>
      <c r="M89" s="7"/>
      <c r="O89" s="7"/>
      <c r="Q89" s="7"/>
      <c r="S89" s="7"/>
      <c r="U89" s="7"/>
      <c r="W89" s="7"/>
    </row>
    <row r="90">
      <c r="A90" s="50"/>
      <c r="B90" s="53"/>
      <c r="C90" s="27"/>
      <c r="D90" s="28"/>
      <c r="E90" s="45"/>
      <c r="F90" s="6"/>
      <c r="G90" s="7"/>
      <c r="H90" s="35"/>
      <c r="I90" s="27"/>
      <c r="J90" s="28"/>
      <c r="K90" s="36"/>
      <c r="L90" s="6"/>
      <c r="M90" s="7"/>
      <c r="O90" s="7"/>
      <c r="Q90" s="7"/>
      <c r="S90" s="7"/>
      <c r="U90" s="7"/>
      <c r="W90" s="7"/>
    </row>
    <row r="91">
      <c r="A91" s="50"/>
      <c r="B91" s="57"/>
      <c r="C91" s="57"/>
      <c r="D91" s="57"/>
      <c r="E91" s="45"/>
      <c r="F91" s="6"/>
      <c r="G91" s="7"/>
      <c r="H91" s="35"/>
      <c r="I91" s="27"/>
      <c r="J91" s="28"/>
      <c r="K91" s="36"/>
      <c r="L91" s="3"/>
      <c r="M91" s="7"/>
      <c r="O91" s="7"/>
      <c r="Q91" s="7"/>
      <c r="S91" s="7"/>
      <c r="U91" s="7"/>
      <c r="W91" s="7"/>
    </row>
    <row r="92">
      <c r="A92" s="50"/>
      <c r="B92" s="57"/>
      <c r="C92" s="57"/>
      <c r="D92" s="57"/>
      <c r="E92" s="45"/>
      <c r="F92" s="6"/>
      <c r="G92" s="7"/>
      <c r="H92" s="35"/>
      <c r="I92" s="27"/>
      <c r="J92" s="28"/>
      <c r="K92" s="36"/>
      <c r="L92" s="3"/>
      <c r="M92" s="7"/>
      <c r="O92" s="7"/>
      <c r="Q92" s="7"/>
      <c r="S92" s="7"/>
      <c r="U92" s="7"/>
      <c r="W92" s="7"/>
    </row>
    <row r="93">
      <c r="A93" s="50"/>
      <c r="B93" s="57"/>
      <c r="C93" s="57"/>
      <c r="D93" s="57"/>
      <c r="E93" s="45"/>
      <c r="F93" s="6"/>
      <c r="G93" s="7"/>
      <c r="H93" s="35"/>
      <c r="I93" s="27"/>
      <c r="J93" s="28"/>
      <c r="K93" s="36"/>
      <c r="L93" s="3"/>
      <c r="M93" s="7"/>
      <c r="O93" s="7"/>
      <c r="Q93" s="7"/>
      <c r="S93" s="7"/>
      <c r="U93" s="7"/>
      <c r="W93" s="7"/>
    </row>
    <row r="94">
      <c r="A94" s="50"/>
      <c r="B94" s="57"/>
      <c r="C94" s="57"/>
      <c r="D94" s="57"/>
      <c r="E94" s="45"/>
      <c r="F94" s="6"/>
      <c r="G94" s="7"/>
      <c r="H94" s="35"/>
      <c r="I94" s="27"/>
      <c r="J94" s="28"/>
      <c r="K94" s="36"/>
      <c r="L94" s="3"/>
      <c r="M94" s="7"/>
      <c r="O94" s="7"/>
      <c r="Q94" s="7"/>
      <c r="S94" s="7"/>
      <c r="U94" s="7"/>
      <c r="W94" s="7"/>
    </row>
    <row r="95">
      <c r="A95" s="50"/>
      <c r="B95" s="57"/>
      <c r="C95" s="57"/>
      <c r="D95" s="57"/>
      <c r="E95" s="45"/>
      <c r="F95" s="6"/>
      <c r="G95" s="7"/>
      <c r="H95" s="35"/>
      <c r="I95" s="27"/>
      <c r="J95" s="28"/>
      <c r="K95" s="36"/>
      <c r="L95" s="3"/>
      <c r="M95" s="7"/>
      <c r="O95" s="7"/>
      <c r="Q95" s="7"/>
      <c r="S95" s="7"/>
      <c r="U95" s="7"/>
      <c r="W95" s="7"/>
    </row>
    <row r="96">
      <c r="A96" s="50"/>
      <c r="B96" s="57"/>
      <c r="C96" s="57"/>
      <c r="D96" s="57"/>
      <c r="E96" s="45"/>
      <c r="F96" s="6"/>
      <c r="G96" s="7"/>
      <c r="H96" s="35"/>
      <c r="I96" s="27"/>
      <c r="J96" s="28"/>
      <c r="K96" s="36"/>
      <c r="L96" s="3"/>
      <c r="M96" s="7"/>
      <c r="O96" s="7"/>
      <c r="Q96" s="7"/>
      <c r="S96" s="7"/>
      <c r="U96" s="7"/>
      <c r="W96" s="7"/>
    </row>
    <row r="97">
      <c r="A97" s="50"/>
      <c r="B97" s="57"/>
      <c r="C97" s="57"/>
      <c r="D97" s="57"/>
      <c r="E97" s="45"/>
      <c r="F97" s="6"/>
      <c r="G97" s="7"/>
      <c r="H97" s="35"/>
      <c r="I97" s="27"/>
      <c r="J97" s="28"/>
      <c r="K97" s="36"/>
      <c r="L97" s="3"/>
      <c r="M97" s="7"/>
      <c r="O97" s="7"/>
      <c r="Q97" s="7"/>
      <c r="S97" s="7"/>
      <c r="U97" s="7"/>
      <c r="W97" s="7"/>
    </row>
    <row r="98">
      <c r="A98" s="50"/>
      <c r="B98" s="57"/>
      <c r="C98" s="57"/>
      <c r="D98" s="57"/>
      <c r="E98" s="45"/>
      <c r="F98" s="6"/>
      <c r="G98" s="7"/>
      <c r="H98" s="35"/>
      <c r="I98" s="27"/>
      <c r="J98" s="28"/>
      <c r="K98" s="36"/>
      <c r="L98" s="3"/>
      <c r="M98" s="7"/>
      <c r="O98" s="7"/>
      <c r="Q98" s="7"/>
      <c r="S98" s="7"/>
      <c r="U98" s="7"/>
      <c r="W98" s="7"/>
    </row>
    <row r="99">
      <c r="A99" s="50"/>
      <c r="B99" s="57"/>
      <c r="C99" s="57"/>
      <c r="D99" s="57"/>
      <c r="E99" s="45"/>
      <c r="F99" s="6"/>
      <c r="G99" s="7"/>
      <c r="H99" s="35"/>
      <c r="I99" s="27"/>
      <c r="J99" s="28"/>
      <c r="K99" s="36"/>
      <c r="L99" s="3"/>
      <c r="M99" s="7"/>
      <c r="O99" s="7"/>
      <c r="Q99" s="7"/>
      <c r="S99" s="7"/>
      <c r="U99" s="7"/>
      <c r="W99" s="7"/>
    </row>
    <row r="100">
      <c r="A100" s="50"/>
      <c r="B100" s="57"/>
      <c r="C100" s="57"/>
      <c r="D100" s="57"/>
      <c r="E100" s="45"/>
      <c r="F100" s="6"/>
      <c r="G100" s="7"/>
      <c r="H100" s="35"/>
      <c r="I100" s="27"/>
      <c r="J100" s="28"/>
      <c r="K100" s="36"/>
      <c r="L100" s="3"/>
      <c r="M100" s="7"/>
      <c r="O100" s="7"/>
      <c r="Q100" s="7"/>
      <c r="S100" s="7"/>
      <c r="U100" s="7"/>
      <c r="W100" s="7"/>
    </row>
    <row r="101">
      <c r="A101" s="50"/>
      <c r="B101" s="57"/>
      <c r="C101" s="57"/>
      <c r="D101" s="57"/>
      <c r="E101" s="45"/>
      <c r="F101" s="6"/>
      <c r="G101" s="7"/>
      <c r="H101" s="35"/>
      <c r="I101" s="27"/>
      <c r="J101" s="28"/>
      <c r="K101" s="36"/>
      <c r="L101" s="3"/>
      <c r="M101" s="7"/>
      <c r="O101" s="7"/>
      <c r="Q101" s="7"/>
      <c r="S101" s="7"/>
      <c r="U101" s="7"/>
      <c r="W101" s="7"/>
    </row>
    <row r="102">
      <c r="A102" s="50"/>
      <c r="B102" s="57"/>
      <c r="C102" s="57"/>
      <c r="D102" s="57"/>
      <c r="E102" s="45"/>
      <c r="F102" s="6"/>
      <c r="G102" s="7"/>
      <c r="H102" s="35"/>
      <c r="I102" s="27"/>
      <c r="J102" s="28"/>
      <c r="K102" s="36"/>
      <c r="L102" s="3"/>
      <c r="M102" s="7"/>
      <c r="O102" s="7"/>
      <c r="Q102" s="7"/>
      <c r="S102" s="7"/>
      <c r="U102" s="7"/>
      <c r="W102" s="7"/>
    </row>
    <row r="103">
      <c r="A103" s="50"/>
      <c r="B103" s="57"/>
      <c r="C103" s="57"/>
      <c r="D103" s="57"/>
      <c r="E103" s="45"/>
      <c r="F103" s="6"/>
      <c r="G103" s="7"/>
      <c r="H103" s="35"/>
      <c r="I103" s="27"/>
      <c r="J103" s="28"/>
      <c r="K103" s="36"/>
      <c r="L103" s="3"/>
      <c r="M103" s="7"/>
      <c r="O103" s="7"/>
      <c r="Q103" s="7"/>
      <c r="S103" s="7"/>
      <c r="U103" s="7"/>
      <c r="W103" s="7"/>
    </row>
    <row r="104">
      <c r="A104" s="50"/>
      <c r="B104" s="57"/>
      <c r="C104" s="57"/>
      <c r="D104" s="57"/>
      <c r="E104" s="45"/>
      <c r="F104" s="6"/>
      <c r="G104" s="7"/>
      <c r="H104" s="35"/>
      <c r="I104" s="27"/>
      <c r="J104" s="28"/>
      <c r="K104" s="36"/>
      <c r="L104" s="3"/>
      <c r="M104" s="7"/>
      <c r="O104" s="7"/>
      <c r="Q104" s="7"/>
      <c r="S104" s="7"/>
      <c r="U104" s="7"/>
      <c r="W104" s="7"/>
    </row>
    <row r="105">
      <c r="A105" s="50"/>
      <c r="B105" s="57"/>
      <c r="C105" s="57"/>
      <c r="D105" s="57"/>
      <c r="E105" s="45"/>
      <c r="F105" s="6"/>
      <c r="G105" s="7"/>
      <c r="H105" s="35"/>
      <c r="I105" s="27"/>
      <c r="J105" s="28"/>
      <c r="K105" s="36"/>
      <c r="L105" s="3"/>
      <c r="M105" s="7"/>
      <c r="O105" s="7"/>
      <c r="Q105" s="7"/>
      <c r="S105" s="7"/>
      <c r="U105" s="7"/>
      <c r="W105" s="7"/>
    </row>
    <row r="106">
      <c r="A106" s="50"/>
      <c r="B106" s="57"/>
      <c r="C106" s="57"/>
      <c r="D106" s="57"/>
      <c r="E106" s="45"/>
      <c r="F106" s="6"/>
      <c r="G106" s="7"/>
      <c r="H106" s="35"/>
      <c r="I106" s="27"/>
      <c r="J106" s="28"/>
      <c r="K106" s="36"/>
      <c r="L106" s="3"/>
      <c r="M106" s="7"/>
      <c r="O106" s="7"/>
      <c r="Q106" s="7"/>
      <c r="S106" s="7"/>
      <c r="U106" s="7"/>
      <c r="W106" s="7"/>
    </row>
    <row r="107">
      <c r="A107" s="50"/>
      <c r="B107" s="57"/>
      <c r="C107" s="57"/>
      <c r="D107" s="57"/>
      <c r="E107" s="45"/>
      <c r="F107" s="6"/>
      <c r="G107" s="7"/>
      <c r="H107" s="35"/>
      <c r="I107" s="27"/>
      <c r="J107" s="28"/>
      <c r="K107" s="36"/>
      <c r="L107" s="3"/>
      <c r="M107" s="7"/>
      <c r="O107" s="7"/>
      <c r="Q107" s="7"/>
      <c r="S107" s="7"/>
      <c r="U107" s="7"/>
      <c r="W107" s="7"/>
    </row>
    <row r="108">
      <c r="A108" s="50"/>
      <c r="B108" s="57"/>
      <c r="C108" s="57"/>
      <c r="D108" s="57"/>
      <c r="E108" s="45"/>
      <c r="F108" s="6"/>
      <c r="G108" s="7"/>
      <c r="H108" s="35"/>
      <c r="I108" s="27"/>
      <c r="J108" s="28"/>
      <c r="K108" s="36"/>
      <c r="L108" s="3"/>
      <c r="M108" s="7"/>
      <c r="O108" s="7"/>
      <c r="Q108" s="7"/>
      <c r="S108" s="7"/>
      <c r="U108" s="7"/>
      <c r="W108" s="7"/>
    </row>
    <row r="109">
      <c r="A109" s="50"/>
      <c r="B109" s="57"/>
      <c r="C109" s="57"/>
      <c r="D109" s="57"/>
      <c r="E109" s="45"/>
      <c r="F109" s="6"/>
      <c r="G109" s="7"/>
      <c r="H109" s="35"/>
      <c r="I109" s="27"/>
      <c r="J109" s="28"/>
      <c r="K109" s="36"/>
      <c r="L109" s="3"/>
      <c r="M109" s="7"/>
      <c r="O109" s="7"/>
      <c r="Q109" s="7"/>
      <c r="S109" s="7"/>
      <c r="U109" s="7"/>
      <c r="W109" s="7"/>
    </row>
    <row r="110">
      <c r="A110" s="50"/>
      <c r="B110" s="57"/>
      <c r="C110" s="57"/>
      <c r="D110" s="57"/>
      <c r="E110" s="45"/>
      <c r="F110" s="6"/>
      <c r="G110" s="7"/>
      <c r="H110" s="35"/>
      <c r="I110" s="27"/>
      <c r="J110" s="28"/>
      <c r="K110" s="36"/>
      <c r="L110" s="3"/>
      <c r="M110" s="7"/>
      <c r="O110" s="7"/>
      <c r="Q110" s="7"/>
      <c r="S110" s="7"/>
      <c r="U110" s="7"/>
      <c r="W110" s="7"/>
    </row>
    <row r="111">
      <c r="A111" s="50"/>
      <c r="B111" s="57"/>
      <c r="C111" s="57"/>
      <c r="D111" s="57"/>
      <c r="E111" s="45"/>
      <c r="F111" s="6"/>
      <c r="G111" s="7"/>
      <c r="H111" s="35"/>
      <c r="I111" s="27"/>
      <c r="J111" s="28"/>
      <c r="K111" s="36"/>
      <c r="L111" s="3"/>
      <c r="M111" s="7"/>
      <c r="O111" s="7"/>
      <c r="Q111" s="7"/>
      <c r="S111" s="7"/>
      <c r="U111" s="7"/>
      <c r="W111" s="7"/>
    </row>
    <row r="112">
      <c r="A112" s="50"/>
      <c r="B112" s="57"/>
      <c r="C112" s="57"/>
      <c r="D112" s="57"/>
      <c r="E112" s="45"/>
      <c r="F112" s="6"/>
      <c r="G112" s="7"/>
      <c r="H112" s="35"/>
      <c r="I112" s="27"/>
      <c r="J112" s="28"/>
      <c r="K112" s="36"/>
      <c r="L112" s="3"/>
      <c r="M112" s="7"/>
      <c r="O112" s="7"/>
      <c r="Q112" s="7"/>
      <c r="S112" s="7"/>
      <c r="U112" s="7"/>
      <c r="W112" s="7"/>
    </row>
    <row r="113">
      <c r="A113" s="2"/>
      <c r="B113" s="35" t="s">
        <v>17</v>
      </c>
      <c r="C113" s="27"/>
      <c r="D113" s="28"/>
      <c r="E113" s="45"/>
      <c r="F113" s="6">
        <f>SUM(F84:F90)</f>
        <v>0</v>
      </c>
      <c r="G113" s="7"/>
      <c r="H113" s="35" t="s">
        <v>17</v>
      </c>
      <c r="I113" s="27"/>
      <c r="J113" s="28"/>
      <c r="K113" s="45"/>
      <c r="L113" s="6">
        <f>SUM(L84:L112)</f>
        <v>34</v>
      </c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B115" s="26" t="s">
        <v>28</v>
      </c>
      <c r="C115" s="27"/>
      <c r="D115" s="27"/>
      <c r="E115" s="27"/>
      <c r="F115" s="28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B116" s="26" t="s">
        <v>33</v>
      </c>
      <c r="C116" s="27"/>
      <c r="D116" s="28"/>
      <c r="E116" s="30" t="s">
        <v>34</v>
      </c>
      <c r="F116" s="31" t="s">
        <v>35</v>
      </c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B117" s="35" t="s">
        <v>86</v>
      </c>
      <c r="C117" s="27"/>
      <c r="D117" s="28"/>
      <c r="E117" s="36">
        <v>43587.0</v>
      </c>
      <c r="F117" s="3">
        <v>10.0</v>
      </c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B118" s="35" t="s">
        <v>86</v>
      </c>
      <c r="C118" s="27"/>
      <c r="D118" s="28"/>
      <c r="E118" s="36">
        <v>43589.0</v>
      </c>
      <c r="F118" s="3">
        <v>20.0</v>
      </c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B119" s="35" t="s">
        <v>86</v>
      </c>
      <c r="C119" s="27"/>
      <c r="D119" s="28"/>
      <c r="E119" s="36">
        <v>43593.0</v>
      </c>
      <c r="F119" s="3">
        <v>20.0</v>
      </c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B120" s="35" t="s">
        <v>128</v>
      </c>
      <c r="C120" s="27"/>
      <c r="D120" s="28"/>
      <c r="E120" s="36">
        <v>43595.0</v>
      </c>
      <c r="F120" s="3">
        <v>18.0</v>
      </c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B121" s="35" t="s">
        <v>86</v>
      </c>
      <c r="C121" s="27"/>
      <c r="D121" s="28"/>
      <c r="E121" s="36">
        <v>43597.0</v>
      </c>
      <c r="F121" s="3">
        <v>20.0</v>
      </c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B122" s="35" t="s">
        <v>86</v>
      </c>
      <c r="C122" s="27"/>
      <c r="D122" s="28"/>
      <c r="E122" s="36">
        <v>43600.0</v>
      </c>
      <c r="F122" s="3">
        <v>20.0</v>
      </c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B123" s="35" t="s">
        <v>86</v>
      </c>
      <c r="C123" s="27"/>
      <c r="D123" s="28"/>
      <c r="E123" s="36">
        <v>43605.0</v>
      </c>
      <c r="F123" s="3">
        <v>20.0</v>
      </c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B124" s="35" t="s">
        <v>86</v>
      </c>
      <c r="C124" s="27"/>
      <c r="D124" s="28"/>
      <c r="E124" s="36">
        <v>43608.0</v>
      </c>
      <c r="F124" s="3">
        <v>10.0</v>
      </c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B125" s="35" t="s">
        <v>86</v>
      </c>
      <c r="C125" s="27"/>
      <c r="D125" s="28"/>
      <c r="E125" s="36">
        <v>43611.0</v>
      </c>
      <c r="F125" s="3">
        <v>20.0</v>
      </c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B126" s="35" t="s">
        <v>86</v>
      </c>
      <c r="C126" s="27"/>
      <c r="D126" s="28"/>
      <c r="E126" s="36">
        <v>43615.0</v>
      </c>
      <c r="F126" s="3">
        <v>20.0</v>
      </c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B127" s="35" t="s">
        <v>17</v>
      </c>
      <c r="C127" s="27"/>
      <c r="D127" s="28"/>
      <c r="E127" s="45"/>
      <c r="F127" s="6">
        <f>SUM(F117:F126)</f>
        <v>178</v>
      </c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7"/>
      <c r="L1059" s="7"/>
      <c r="M1059" s="7"/>
      <c r="O1059" s="7"/>
      <c r="Q1059" s="7"/>
      <c r="S1059" s="7"/>
      <c r="U1059" s="7"/>
      <c r="W1059" s="7"/>
    </row>
  </sheetData>
  <mergeCells count="190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21:D21"/>
    <mergeCell ref="B22:D22"/>
    <mergeCell ref="B23:D23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60:F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1:F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2:F82"/>
    <mergeCell ref="B83:D83"/>
    <mergeCell ref="B84:D84"/>
    <mergeCell ref="B85:D85"/>
    <mergeCell ref="B86:D86"/>
    <mergeCell ref="B87:D87"/>
    <mergeCell ref="B88:D88"/>
    <mergeCell ref="B89:D8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90:D90"/>
    <mergeCell ref="B113:D113"/>
    <mergeCell ref="B115:F115"/>
    <mergeCell ref="B116:D116"/>
    <mergeCell ref="B117:D117"/>
    <mergeCell ref="B118:D118"/>
    <mergeCell ref="B119:D119"/>
    <mergeCell ref="H68:J68"/>
    <mergeCell ref="H69:J69"/>
    <mergeCell ref="H71:L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2:L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12:J112"/>
    <mergeCell ref="H113:J113"/>
    <mergeCell ref="H105:J105"/>
    <mergeCell ref="H106:J106"/>
    <mergeCell ref="H107:J107"/>
    <mergeCell ref="H108:J108"/>
    <mergeCell ref="H109:J109"/>
    <mergeCell ref="H110:J110"/>
    <mergeCell ref="H111:J11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B36:D36"/>
    <mergeCell ref="H35:J35"/>
    <mergeCell ref="H36:J36"/>
    <mergeCell ref="H38:L38"/>
    <mergeCell ref="H39:J39"/>
    <mergeCell ref="H40:J40"/>
    <mergeCell ref="H41:J41"/>
    <mergeCell ref="H42:J42"/>
    <mergeCell ref="B38:F38"/>
    <mergeCell ref="B39:D39"/>
    <mergeCell ref="B40:D40"/>
    <mergeCell ref="B41:D41"/>
    <mergeCell ref="B42:D42"/>
    <mergeCell ref="B43:D43"/>
    <mergeCell ref="B44:D44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8:J58"/>
    <mergeCell ref="H60:L60"/>
    <mergeCell ref="H61:J61"/>
    <mergeCell ref="H62:J62"/>
    <mergeCell ref="H63:J63"/>
    <mergeCell ref="H64:J64"/>
    <mergeCell ref="H65:J65"/>
    <mergeCell ref="H66:J66"/>
    <mergeCell ref="H67:J67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4" max="4" width="30.13"/>
    <col customWidth="1" min="7" max="7" width="2.38"/>
    <col customWidth="1" min="10" max="10" width="13.13"/>
  </cols>
  <sheetData>
    <row r="1">
      <c r="A1" s="1"/>
      <c r="B1" s="1" t="s">
        <v>251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/>
      <c r="C6" s="27"/>
      <c r="D6" s="28"/>
      <c r="E6" s="38"/>
      <c r="F6" s="31"/>
      <c r="G6" s="32"/>
      <c r="H6" s="35" t="s">
        <v>252</v>
      </c>
      <c r="I6" s="27"/>
      <c r="J6" s="28"/>
      <c r="K6" s="36">
        <v>43619.0</v>
      </c>
      <c r="L6" s="3">
        <v>5.5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36"/>
      <c r="F7" s="31"/>
      <c r="G7" s="37"/>
      <c r="H7" s="35" t="s">
        <v>253</v>
      </c>
      <c r="I7" s="27"/>
      <c r="J7" s="28"/>
      <c r="K7" s="36">
        <v>43711.0</v>
      </c>
      <c r="L7" s="3">
        <v>1.3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254</v>
      </c>
      <c r="I8" s="27"/>
      <c r="J8" s="28"/>
      <c r="K8" s="36">
        <v>43622.0</v>
      </c>
      <c r="L8" s="3">
        <v>2.0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39</v>
      </c>
      <c r="I9" s="27"/>
      <c r="J9" s="28"/>
      <c r="K9" s="36">
        <v>43624.0</v>
      </c>
      <c r="L9" s="3">
        <v>2.0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255</v>
      </c>
      <c r="I10" s="27"/>
      <c r="J10" s="28"/>
      <c r="K10" s="36">
        <v>43624.0</v>
      </c>
      <c r="L10" s="3">
        <v>13.97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39</v>
      </c>
      <c r="I11" s="27"/>
      <c r="J11" s="28"/>
      <c r="K11" s="36">
        <v>43625.0</v>
      </c>
      <c r="L11" s="3">
        <v>2.0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36">
        <v>43626.0</v>
      </c>
      <c r="L12" s="3">
        <v>2.0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39</v>
      </c>
      <c r="I13" s="27"/>
      <c r="J13" s="28"/>
      <c r="K13" s="36">
        <v>43628.0</v>
      </c>
      <c r="L13" s="3">
        <v>1.5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256</v>
      </c>
      <c r="I14" s="27"/>
      <c r="J14" s="28"/>
      <c r="K14" s="36">
        <v>43627.0</v>
      </c>
      <c r="L14" s="3">
        <v>1.5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39</v>
      </c>
      <c r="I15" s="27"/>
      <c r="J15" s="28"/>
      <c r="K15" s="36">
        <v>43628.0</v>
      </c>
      <c r="L15" s="3">
        <v>0.5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43629.0</v>
      </c>
      <c r="L16" s="3">
        <v>1.0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257</v>
      </c>
      <c r="I17" s="27"/>
      <c r="J17" s="28"/>
      <c r="K17" s="36">
        <v>43630.0</v>
      </c>
      <c r="L17" s="3">
        <f>12.3+6.2</f>
        <v>18.5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36">
        <v>43633.0</v>
      </c>
      <c r="L18" s="3">
        <v>1.5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39</v>
      </c>
      <c r="I19" s="27"/>
      <c r="J19" s="28"/>
      <c r="K19" s="36">
        <v>43634.0</v>
      </c>
      <c r="L19" s="3">
        <v>1.5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39</v>
      </c>
      <c r="I20" s="27"/>
      <c r="J20" s="28"/>
      <c r="K20" s="36">
        <v>43635.0</v>
      </c>
      <c r="L20" s="3">
        <v>1.5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39</v>
      </c>
      <c r="I21" s="27"/>
      <c r="J21" s="28"/>
      <c r="K21" s="36">
        <v>43636.0</v>
      </c>
      <c r="L21" s="3">
        <v>1.5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39</v>
      </c>
      <c r="I22" s="27"/>
      <c r="J22" s="28"/>
      <c r="K22" s="36">
        <v>43640.0</v>
      </c>
      <c r="L22" s="3">
        <v>1.5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258</v>
      </c>
      <c r="I23" s="27"/>
      <c r="J23" s="28"/>
      <c r="K23" s="36">
        <v>43640.0</v>
      </c>
      <c r="L23" s="3">
        <v>5.0</v>
      </c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8"/>
      <c r="F24" s="40"/>
      <c r="G24" s="37"/>
      <c r="H24" s="43" t="s">
        <v>39</v>
      </c>
      <c r="I24" s="27"/>
      <c r="J24" s="28"/>
      <c r="K24" s="36">
        <v>43641.0</v>
      </c>
      <c r="L24" s="3">
        <v>1.0</v>
      </c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8"/>
      <c r="F25" s="40"/>
      <c r="G25" s="37"/>
      <c r="H25" s="43" t="s">
        <v>39</v>
      </c>
      <c r="I25" s="27"/>
      <c r="J25" s="28"/>
      <c r="K25" s="36">
        <v>43642.0</v>
      </c>
      <c r="L25" s="3">
        <v>2.0</v>
      </c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8"/>
      <c r="F26" s="40"/>
      <c r="G26" s="37"/>
      <c r="H26" s="43" t="s">
        <v>259</v>
      </c>
      <c r="I26" s="27"/>
      <c r="J26" s="28"/>
      <c r="K26" s="36">
        <v>43642.0</v>
      </c>
      <c r="L26" s="3">
        <f>9+1.5+4</f>
        <v>14.5</v>
      </c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8"/>
      <c r="F27" s="40"/>
      <c r="G27" s="37"/>
      <c r="H27" s="43" t="s">
        <v>260</v>
      </c>
      <c r="I27" s="27"/>
      <c r="J27" s="28"/>
      <c r="K27" s="36">
        <v>43643.0</v>
      </c>
      <c r="L27" s="3">
        <v>7.99</v>
      </c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8"/>
      <c r="F28" s="40"/>
      <c r="G28" s="37"/>
      <c r="H28" s="43" t="s">
        <v>39</v>
      </c>
      <c r="I28" s="27"/>
      <c r="J28" s="28"/>
      <c r="K28" s="36">
        <v>43644.0</v>
      </c>
      <c r="L28" s="3">
        <v>1.5</v>
      </c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8"/>
      <c r="F29" s="40"/>
      <c r="G29" s="37"/>
      <c r="H29" s="43"/>
      <c r="I29" s="27"/>
      <c r="J29" s="28"/>
      <c r="K29" s="36"/>
      <c r="L29" s="3"/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8"/>
      <c r="F30" s="40"/>
      <c r="G30" s="37"/>
      <c r="H30" s="43"/>
      <c r="I30" s="27"/>
      <c r="J30" s="28"/>
      <c r="K30" s="36"/>
      <c r="L30" s="3"/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8"/>
      <c r="F31" s="40"/>
      <c r="G31" s="37"/>
      <c r="H31" s="43"/>
      <c r="I31" s="27"/>
      <c r="J31" s="28"/>
      <c r="K31" s="36"/>
      <c r="L31" s="3"/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8"/>
      <c r="F32" s="40"/>
      <c r="G32" s="37"/>
      <c r="H32" s="43"/>
      <c r="I32" s="27"/>
      <c r="J32" s="28"/>
      <c r="K32" s="36"/>
      <c r="L32" s="3"/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8"/>
      <c r="F33" s="40"/>
      <c r="G33" s="37"/>
      <c r="H33" s="43"/>
      <c r="I33" s="27"/>
      <c r="J33" s="28"/>
      <c r="K33" s="36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8"/>
      <c r="F34" s="40"/>
      <c r="G34" s="37"/>
      <c r="H34" s="43"/>
      <c r="I34" s="27"/>
      <c r="J34" s="28"/>
      <c r="K34" s="36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8"/>
      <c r="F35" s="40"/>
      <c r="G35" s="37"/>
      <c r="H35" s="43"/>
      <c r="I35" s="27"/>
      <c r="J35" s="28"/>
      <c r="K35" s="4"/>
      <c r="L35" s="3"/>
      <c r="M35" s="7"/>
      <c r="N35" s="41"/>
      <c r="O35" s="42"/>
      <c r="Q35" s="7"/>
      <c r="S35" s="7"/>
      <c r="U35" s="7"/>
      <c r="W35" s="7"/>
    </row>
    <row r="36">
      <c r="A36" s="2"/>
      <c r="B36" s="35" t="s">
        <v>17</v>
      </c>
      <c r="C36" s="27"/>
      <c r="D36" s="28"/>
      <c r="E36" s="45"/>
      <c r="F36" s="6">
        <f>SUM(F6:F12)</f>
        <v>0</v>
      </c>
      <c r="G36" s="7"/>
      <c r="H36" s="35" t="s">
        <v>17</v>
      </c>
      <c r="I36" s="27"/>
      <c r="J36" s="28"/>
      <c r="K36" s="6"/>
      <c r="L36" s="6">
        <f>SUM(L6:L35)</f>
        <v>91.26</v>
      </c>
      <c r="M36" s="7"/>
      <c r="N36" s="41"/>
      <c r="O36" s="20"/>
      <c r="Q36" s="7"/>
      <c r="S36" s="7"/>
      <c r="U36" s="7"/>
      <c r="W36" s="7"/>
    </row>
    <row r="37" ht="9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7"/>
      <c r="N37" s="46"/>
      <c r="O37" s="47"/>
      <c r="Q37" s="7"/>
      <c r="S37" s="7"/>
      <c r="U37" s="7"/>
      <c r="W37" s="7"/>
    </row>
    <row r="38">
      <c r="A38" s="25"/>
      <c r="B38" s="26" t="s">
        <v>26</v>
      </c>
      <c r="C38" s="27"/>
      <c r="D38" s="27"/>
      <c r="E38" s="27"/>
      <c r="F38" s="28"/>
      <c r="G38" s="25"/>
      <c r="H38" s="26" t="s">
        <v>25</v>
      </c>
      <c r="I38" s="27"/>
      <c r="J38" s="27"/>
      <c r="K38" s="27"/>
      <c r="L38" s="28"/>
      <c r="M38" s="7"/>
      <c r="N38" s="46"/>
      <c r="O38" s="47"/>
      <c r="Q38" s="7"/>
      <c r="S38" s="7"/>
      <c r="U38" s="7"/>
      <c r="W38" s="7"/>
    </row>
    <row r="39">
      <c r="A39" s="25"/>
      <c r="B39" s="26" t="s">
        <v>33</v>
      </c>
      <c r="C39" s="27"/>
      <c r="D39" s="28"/>
      <c r="E39" s="30" t="s">
        <v>34</v>
      </c>
      <c r="F39" s="31" t="s">
        <v>35</v>
      </c>
      <c r="G39" s="32"/>
      <c r="H39" s="26" t="s">
        <v>33</v>
      </c>
      <c r="I39" s="27"/>
      <c r="J39" s="28"/>
      <c r="K39" s="30" t="s">
        <v>34</v>
      </c>
      <c r="L39" s="31" t="s">
        <v>35</v>
      </c>
      <c r="M39" s="7"/>
      <c r="O39" s="7"/>
      <c r="Q39" s="7"/>
      <c r="S39" s="7"/>
      <c r="U39" s="7"/>
      <c r="W39" s="7"/>
    </row>
    <row r="40">
      <c r="A40" s="2"/>
      <c r="B40" s="35" t="s">
        <v>261</v>
      </c>
      <c r="C40" s="27"/>
      <c r="D40" s="28"/>
      <c r="E40" s="36">
        <v>43618.0</v>
      </c>
      <c r="F40" s="3">
        <v>13.0</v>
      </c>
      <c r="G40" s="5"/>
      <c r="H40" s="35" t="s">
        <v>262</v>
      </c>
      <c r="I40" s="27"/>
      <c r="J40" s="28"/>
      <c r="K40" s="48">
        <v>43619.0</v>
      </c>
      <c r="L40" s="49">
        <v>2.0</v>
      </c>
      <c r="M40" s="7"/>
      <c r="O40" s="7"/>
      <c r="Q40" s="7"/>
      <c r="S40" s="7"/>
      <c r="U40" s="7"/>
      <c r="W40" s="7"/>
    </row>
    <row r="41">
      <c r="A41" s="50"/>
      <c r="B41" s="35" t="s">
        <v>263</v>
      </c>
      <c r="C41" s="27"/>
      <c r="D41" s="28"/>
      <c r="E41" s="36">
        <v>43619.0</v>
      </c>
      <c r="F41" s="3">
        <v>2.0</v>
      </c>
      <c r="G41" s="7"/>
      <c r="H41" s="35" t="s">
        <v>264</v>
      </c>
      <c r="I41" s="27"/>
      <c r="J41" s="28"/>
      <c r="K41" s="36">
        <v>43623.0</v>
      </c>
      <c r="L41" s="49">
        <v>5.01</v>
      </c>
      <c r="M41" s="7"/>
      <c r="O41" s="7"/>
      <c r="Q41" s="7"/>
      <c r="S41" s="7"/>
      <c r="U41" s="7"/>
      <c r="W41" s="7"/>
    </row>
    <row r="42">
      <c r="A42" s="50"/>
      <c r="B42" s="35" t="s">
        <v>114</v>
      </c>
      <c r="C42" s="27"/>
      <c r="D42" s="28"/>
      <c r="E42" s="36">
        <v>43620.0</v>
      </c>
      <c r="F42" s="3">
        <v>10.0</v>
      </c>
      <c r="G42" s="7"/>
      <c r="H42" s="35" t="s">
        <v>265</v>
      </c>
      <c r="I42" s="27"/>
      <c r="J42" s="28"/>
      <c r="K42" s="36">
        <v>43624.0</v>
      </c>
      <c r="L42" s="49">
        <v>8.0</v>
      </c>
      <c r="M42" s="7"/>
      <c r="O42" s="7"/>
      <c r="Q42" s="7"/>
      <c r="S42" s="7"/>
      <c r="U42" s="7"/>
      <c r="W42" s="7"/>
    </row>
    <row r="43">
      <c r="A43" s="50"/>
      <c r="B43" s="35" t="s">
        <v>266</v>
      </c>
      <c r="C43" s="27"/>
      <c r="D43" s="28"/>
      <c r="E43" s="36">
        <v>43621.0</v>
      </c>
      <c r="F43" s="3">
        <v>7.47</v>
      </c>
      <c r="G43" s="7"/>
      <c r="H43" s="35" t="s">
        <v>267</v>
      </c>
      <c r="I43" s="27"/>
      <c r="J43" s="28"/>
      <c r="K43" s="36">
        <v>43624.0</v>
      </c>
      <c r="L43" s="49">
        <v>7.18</v>
      </c>
      <c r="M43" s="7"/>
      <c r="O43" s="7"/>
      <c r="Q43" s="7"/>
      <c r="S43" s="7"/>
      <c r="U43" s="7"/>
      <c r="W43" s="7"/>
    </row>
    <row r="44">
      <c r="A44" s="50"/>
      <c r="B44" s="35" t="s">
        <v>268</v>
      </c>
      <c r="C44" s="27"/>
      <c r="D44" s="28"/>
      <c r="E44" s="36">
        <v>43621.0</v>
      </c>
      <c r="F44" s="3">
        <v>150.0</v>
      </c>
      <c r="G44" s="7"/>
      <c r="H44" s="35" t="s">
        <v>58</v>
      </c>
      <c r="I44" s="27"/>
      <c r="J44" s="28"/>
      <c r="K44" s="36">
        <v>43626.0</v>
      </c>
      <c r="L44" s="49">
        <v>3.5</v>
      </c>
      <c r="M44" s="7"/>
      <c r="O44" s="7"/>
      <c r="Q44" s="7"/>
      <c r="S44" s="7"/>
      <c r="U44" s="7"/>
      <c r="W44" s="7"/>
    </row>
    <row r="45">
      <c r="A45" s="50"/>
      <c r="B45" s="35" t="s">
        <v>224</v>
      </c>
      <c r="C45" s="27"/>
      <c r="D45" s="28"/>
      <c r="E45" s="36">
        <v>43623.0</v>
      </c>
      <c r="F45" s="3">
        <v>2.0</v>
      </c>
      <c r="G45" s="7"/>
      <c r="H45" s="35" t="s">
        <v>269</v>
      </c>
      <c r="I45" s="27"/>
      <c r="J45" s="28"/>
      <c r="K45" s="48">
        <v>43627.0</v>
      </c>
      <c r="L45" s="49">
        <v>8.5</v>
      </c>
      <c r="M45" s="7"/>
      <c r="O45" s="7"/>
      <c r="P45" s="2"/>
      <c r="Q45" s="7"/>
      <c r="S45" s="7"/>
      <c r="U45" s="7"/>
      <c r="W45" s="7"/>
    </row>
    <row r="46">
      <c r="A46" s="50"/>
      <c r="B46" s="35" t="s">
        <v>198</v>
      </c>
      <c r="C46" s="27"/>
      <c r="D46" s="28"/>
      <c r="E46" s="36">
        <v>43623.0</v>
      </c>
      <c r="F46" s="3">
        <v>2.3</v>
      </c>
      <c r="G46" s="7"/>
      <c r="H46" s="35" t="s">
        <v>52</v>
      </c>
      <c r="I46" s="27"/>
      <c r="J46" s="28"/>
      <c r="K46" s="36">
        <v>43628.0</v>
      </c>
      <c r="L46" s="49">
        <v>3.18</v>
      </c>
      <c r="M46" s="7"/>
      <c r="O46" s="7"/>
      <c r="Q46" s="7"/>
      <c r="S46" s="7"/>
      <c r="U46" s="7"/>
      <c r="W46" s="7"/>
    </row>
    <row r="47">
      <c r="A47" s="50"/>
      <c r="B47" s="35" t="s">
        <v>270</v>
      </c>
      <c r="C47" s="27"/>
      <c r="D47" s="28"/>
      <c r="E47" s="36">
        <v>43623.0</v>
      </c>
      <c r="F47" s="3">
        <v>10.0</v>
      </c>
      <c r="G47" s="7"/>
      <c r="H47" s="35" t="s">
        <v>271</v>
      </c>
      <c r="I47" s="27"/>
      <c r="J47" s="28"/>
      <c r="K47" s="36">
        <v>43628.0</v>
      </c>
      <c r="L47" s="49">
        <v>1.0</v>
      </c>
      <c r="M47" s="7"/>
      <c r="O47" s="7"/>
      <c r="Q47" s="7"/>
      <c r="S47" s="7"/>
      <c r="U47" s="7"/>
      <c r="W47" s="7"/>
    </row>
    <row r="48">
      <c r="A48" s="50"/>
      <c r="B48" s="35" t="s">
        <v>57</v>
      </c>
      <c r="C48" s="27"/>
      <c r="D48" s="28"/>
      <c r="E48" s="36">
        <v>43621.0</v>
      </c>
      <c r="F48" s="3">
        <v>23.0</v>
      </c>
      <c r="G48" s="7"/>
      <c r="H48" s="35" t="s">
        <v>58</v>
      </c>
      <c r="I48" s="27"/>
      <c r="J48" s="28"/>
      <c r="K48" s="36">
        <v>43633.0</v>
      </c>
      <c r="L48" s="49">
        <v>3.59</v>
      </c>
      <c r="M48" s="7"/>
      <c r="O48" s="7"/>
      <c r="Q48" s="7"/>
      <c r="S48" s="7"/>
      <c r="U48" s="7"/>
      <c r="W48" s="7"/>
    </row>
    <row r="49">
      <c r="A49" s="50"/>
      <c r="B49" s="35" t="s">
        <v>272</v>
      </c>
      <c r="C49" s="27"/>
      <c r="D49" s="28"/>
      <c r="E49" s="36">
        <v>43624.0</v>
      </c>
      <c r="F49" s="3">
        <v>14.0</v>
      </c>
      <c r="G49" s="7"/>
      <c r="H49" s="35" t="s">
        <v>273</v>
      </c>
      <c r="I49" s="27"/>
      <c r="J49" s="28"/>
      <c r="K49" s="36">
        <v>43633.0</v>
      </c>
      <c r="L49" s="49">
        <v>7.68</v>
      </c>
      <c r="M49" s="7"/>
      <c r="O49" s="7"/>
      <c r="Q49" s="7"/>
      <c r="S49" s="7"/>
      <c r="U49" s="7"/>
      <c r="W49" s="7"/>
    </row>
    <row r="50">
      <c r="A50" s="50"/>
      <c r="B50" s="35" t="s">
        <v>198</v>
      </c>
      <c r="C50" s="27"/>
      <c r="D50" s="28"/>
      <c r="E50" s="36">
        <v>43624.0</v>
      </c>
      <c r="F50" s="3">
        <v>2.6</v>
      </c>
      <c r="G50" s="7"/>
      <c r="H50" s="35" t="s">
        <v>58</v>
      </c>
      <c r="I50" s="27"/>
      <c r="J50" s="28"/>
      <c r="K50" s="36">
        <v>43635.0</v>
      </c>
      <c r="L50" s="49">
        <v>3.39</v>
      </c>
      <c r="M50" s="7"/>
      <c r="O50" s="7"/>
      <c r="Q50" s="7"/>
      <c r="S50" s="7"/>
      <c r="U50" s="7"/>
      <c r="W50" s="7"/>
    </row>
    <row r="51">
      <c r="A51" s="50"/>
      <c r="B51" s="35" t="s">
        <v>274</v>
      </c>
      <c r="C51" s="27"/>
      <c r="D51" s="28"/>
      <c r="E51" s="4" t="s">
        <v>275</v>
      </c>
      <c r="F51" s="3">
        <v>100.0</v>
      </c>
      <c r="G51" s="7"/>
      <c r="H51" s="35" t="s">
        <v>58</v>
      </c>
      <c r="I51" s="27"/>
      <c r="J51" s="28"/>
      <c r="K51" s="36">
        <v>43637.0</v>
      </c>
      <c r="L51" s="49">
        <v>3.49</v>
      </c>
      <c r="M51" s="7"/>
      <c r="O51" s="7"/>
      <c r="Q51" s="7"/>
      <c r="S51" s="7"/>
      <c r="U51" s="7"/>
      <c r="W51" s="7"/>
    </row>
    <row r="52">
      <c r="A52" s="50"/>
      <c r="B52" s="35" t="s">
        <v>276</v>
      </c>
      <c r="C52" s="27"/>
      <c r="D52" s="28"/>
      <c r="E52" s="36">
        <v>43626.0</v>
      </c>
      <c r="F52" s="3">
        <v>1.6</v>
      </c>
      <c r="G52" s="7"/>
      <c r="H52" s="35" t="s">
        <v>265</v>
      </c>
      <c r="I52" s="27"/>
      <c r="J52" s="28"/>
      <c r="K52" s="48">
        <v>43635.0</v>
      </c>
      <c r="L52" s="3">
        <v>6.0</v>
      </c>
      <c r="M52" s="7"/>
      <c r="O52" s="7"/>
      <c r="Q52" s="7"/>
      <c r="S52" s="7"/>
      <c r="U52" s="7"/>
      <c r="W52" s="7"/>
    </row>
    <row r="53">
      <c r="A53" s="50"/>
      <c r="B53" s="35" t="s">
        <v>277</v>
      </c>
      <c r="C53" s="27"/>
      <c r="D53" s="28"/>
      <c r="E53" s="36">
        <v>43627.0</v>
      </c>
      <c r="F53" s="3">
        <v>5.0</v>
      </c>
      <c r="G53" s="7"/>
      <c r="H53" s="35" t="s">
        <v>58</v>
      </c>
      <c r="I53" s="27"/>
      <c r="J53" s="28"/>
      <c r="K53" s="36">
        <v>43640.0</v>
      </c>
      <c r="L53" s="49">
        <v>4.0</v>
      </c>
      <c r="M53" s="7"/>
      <c r="O53" s="7"/>
      <c r="Q53" s="7"/>
      <c r="S53" s="7"/>
      <c r="U53" s="7"/>
      <c r="W53" s="7"/>
    </row>
    <row r="54">
      <c r="A54" s="50"/>
      <c r="B54" s="35" t="s">
        <v>278</v>
      </c>
      <c r="C54" s="27"/>
      <c r="D54" s="28"/>
      <c r="E54" s="58">
        <v>43628.0</v>
      </c>
      <c r="F54" s="3">
        <v>150.0</v>
      </c>
      <c r="G54" s="7"/>
      <c r="H54" s="35" t="s">
        <v>279</v>
      </c>
      <c r="I54" s="27"/>
      <c r="J54" s="28"/>
      <c r="K54" s="36">
        <v>43640.0</v>
      </c>
      <c r="L54" s="49">
        <v>7.69</v>
      </c>
      <c r="M54" s="7"/>
      <c r="O54" s="7"/>
      <c r="Q54" s="7"/>
      <c r="S54" s="7"/>
      <c r="U54" s="7"/>
      <c r="W54" s="7"/>
    </row>
    <row r="55">
      <c r="A55" s="50"/>
      <c r="B55" s="35" t="s">
        <v>280</v>
      </c>
      <c r="C55" s="27"/>
      <c r="D55" s="28"/>
      <c r="E55" s="36">
        <v>43629.0</v>
      </c>
      <c r="F55" s="3">
        <v>200.0</v>
      </c>
      <c r="G55" s="7"/>
      <c r="H55" s="35" t="s">
        <v>281</v>
      </c>
      <c r="I55" s="27"/>
      <c r="J55" s="28"/>
      <c r="K55" s="36">
        <v>43639.0</v>
      </c>
      <c r="L55" s="49">
        <v>2.0</v>
      </c>
      <c r="M55" s="7"/>
      <c r="O55" s="7"/>
      <c r="Q55" s="7"/>
      <c r="S55" s="7"/>
      <c r="U55" s="7"/>
      <c r="W55" s="7"/>
    </row>
    <row r="56">
      <c r="A56" s="50"/>
      <c r="B56" s="35" t="s">
        <v>282</v>
      </c>
      <c r="C56" s="27"/>
      <c r="D56" s="28"/>
      <c r="E56" s="58">
        <v>43634.0</v>
      </c>
      <c r="F56" s="3">
        <v>131.21</v>
      </c>
      <c r="G56" s="7"/>
      <c r="H56" s="35" t="s">
        <v>77</v>
      </c>
      <c r="I56" s="27"/>
      <c r="J56" s="28"/>
      <c r="K56" s="36">
        <v>43640.0</v>
      </c>
      <c r="L56" s="49">
        <v>72.31</v>
      </c>
      <c r="M56" s="7"/>
      <c r="O56" s="7"/>
      <c r="Q56" s="7"/>
      <c r="S56" s="7"/>
      <c r="U56" s="7"/>
      <c r="W56" s="7"/>
    </row>
    <row r="57">
      <c r="A57" s="50"/>
      <c r="B57" s="35" t="s">
        <v>283</v>
      </c>
      <c r="C57" s="27"/>
      <c r="D57" s="28"/>
      <c r="E57" s="58">
        <v>43636.0</v>
      </c>
      <c r="F57" s="3">
        <v>4.89</v>
      </c>
      <c r="G57" s="7"/>
      <c r="H57" s="35" t="s">
        <v>284</v>
      </c>
      <c r="I57" s="27"/>
      <c r="J57" s="28"/>
      <c r="K57" s="36">
        <v>43642.0</v>
      </c>
      <c r="L57" s="51">
        <f>3.59+1</f>
        <v>4.59</v>
      </c>
      <c r="M57" s="7"/>
      <c r="O57" s="7"/>
      <c r="Q57" s="7"/>
      <c r="S57" s="7"/>
      <c r="U57" s="7"/>
      <c r="W57" s="7"/>
    </row>
    <row r="58">
      <c r="A58" s="50"/>
      <c r="B58" s="35" t="s">
        <v>285</v>
      </c>
      <c r="C58" s="27"/>
      <c r="D58" s="28"/>
      <c r="E58" s="58">
        <v>43639.0</v>
      </c>
      <c r="F58" s="3">
        <v>50.0</v>
      </c>
      <c r="G58" s="7"/>
      <c r="H58" s="35" t="s">
        <v>58</v>
      </c>
      <c r="I58" s="27"/>
      <c r="J58" s="28"/>
      <c r="K58" s="36">
        <v>43644.0</v>
      </c>
      <c r="L58" s="49">
        <v>3.5</v>
      </c>
      <c r="M58" s="7"/>
      <c r="O58" s="7"/>
      <c r="Q58" s="7"/>
      <c r="S58" s="7"/>
      <c r="U58" s="7"/>
      <c r="W58" s="7"/>
    </row>
    <row r="59">
      <c r="A59" s="50"/>
      <c r="B59" s="35" t="s">
        <v>127</v>
      </c>
      <c r="C59" s="27"/>
      <c r="D59" s="28"/>
      <c r="E59" s="58">
        <v>43639.0</v>
      </c>
      <c r="F59" s="3">
        <v>4.0</v>
      </c>
      <c r="G59" s="7"/>
      <c r="H59" s="35" t="s">
        <v>286</v>
      </c>
      <c r="I59" s="27"/>
      <c r="J59" s="28"/>
      <c r="K59" s="36">
        <v>43646.0</v>
      </c>
      <c r="L59" s="49">
        <v>9.0</v>
      </c>
      <c r="M59" s="7"/>
      <c r="O59" s="7"/>
      <c r="Q59" s="7"/>
      <c r="S59" s="7"/>
      <c r="U59" s="7"/>
      <c r="W59" s="7"/>
    </row>
    <row r="60">
      <c r="A60" s="50"/>
      <c r="B60" s="35" t="s">
        <v>198</v>
      </c>
      <c r="C60" s="27"/>
      <c r="D60" s="28"/>
      <c r="E60" s="58">
        <v>43642.0</v>
      </c>
      <c r="F60" s="3">
        <v>2.3</v>
      </c>
      <c r="G60" s="7"/>
      <c r="H60" s="52"/>
      <c r="I60" s="27"/>
      <c r="J60" s="28"/>
      <c r="K60" s="6"/>
      <c r="L60" s="51"/>
      <c r="M60" s="7"/>
      <c r="O60" s="7"/>
      <c r="Q60" s="7"/>
      <c r="S60" s="7"/>
      <c r="U60" s="7"/>
      <c r="W60" s="7"/>
    </row>
    <row r="61">
      <c r="A61" s="50"/>
      <c r="B61" s="35" t="s">
        <v>287</v>
      </c>
      <c r="C61" s="27"/>
      <c r="D61" s="28"/>
      <c r="E61" s="58">
        <v>43642.0</v>
      </c>
      <c r="F61" s="3">
        <v>14.0</v>
      </c>
      <c r="G61" s="7"/>
      <c r="H61" s="52"/>
      <c r="I61" s="27"/>
      <c r="J61" s="28"/>
      <c r="K61" s="6"/>
      <c r="L61" s="51"/>
      <c r="M61" s="7"/>
      <c r="O61" s="7"/>
      <c r="Q61" s="7"/>
      <c r="S61" s="7"/>
      <c r="U61" s="7"/>
      <c r="W61" s="7"/>
    </row>
    <row r="62">
      <c r="A62" s="50"/>
      <c r="B62" s="35" t="s">
        <v>288</v>
      </c>
      <c r="C62" s="27"/>
      <c r="D62" s="28"/>
      <c r="E62" s="58">
        <v>43643.0</v>
      </c>
      <c r="F62" s="3">
        <v>60.0</v>
      </c>
      <c r="G62" s="7"/>
      <c r="H62" s="52"/>
      <c r="I62" s="27"/>
      <c r="J62" s="28"/>
      <c r="K62" s="6"/>
      <c r="L62" s="51"/>
      <c r="M62" s="7"/>
      <c r="O62" s="7"/>
      <c r="Q62" s="7"/>
      <c r="S62" s="7"/>
      <c r="U62" s="7"/>
      <c r="W62" s="7"/>
    </row>
    <row r="63">
      <c r="A63" s="50"/>
      <c r="B63" s="35" t="s">
        <v>289</v>
      </c>
      <c r="C63" s="27"/>
      <c r="D63" s="28"/>
      <c r="E63" s="58">
        <v>43643.0</v>
      </c>
      <c r="F63" s="3">
        <v>10.0</v>
      </c>
      <c r="G63" s="7"/>
      <c r="H63" s="45"/>
      <c r="I63" s="45"/>
      <c r="J63" s="45"/>
      <c r="K63" s="6"/>
      <c r="L63" s="51"/>
      <c r="M63" s="7"/>
      <c r="O63" s="7"/>
      <c r="Q63" s="7"/>
      <c r="S63" s="7"/>
      <c r="U63" s="7"/>
      <c r="W63" s="7"/>
    </row>
    <row r="64">
      <c r="A64" s="50"/>
      <c r="B64" s="35" t="s">
        <v>290</v>
      </c>
      <c r="C64" s="27"/>
      <c r="D64" s="28"/>
      <c r="E64" s="58">
        <v>43644.0</v>
      </c>
      <c r="F64" s="3">
        <v>20.0</v>
      </c>
      <c r="G64" s="7"/>
      <c r="H64" s="45"/>
      <c r="I64" s="45"/>
      <c r="J64" s="45"/>
      <c r="K64" s="6"/>
      <c r="L64" s="51"/>
      <c r="M64" s="7"/>
      <c r="O64" s="7"/>
      <c r="Q64" s="7"/>
      <c r="S64" s="7"/>
      <c r="U64" s="7"/>
      <c r="W64" s="7"/>
    </row>
    <row r="65">
      <c r="A65" s="2"/>
      <c r="B65" s="35" t="s">
        <v>17</v>
      </c>
      <c r="C65" s="27"/>
      <c r="D65" s="28"/>
      <c r="E65" s="45"/>
      <c r="F65" s="6">
        <f>SUM(F40:F64)</f>
        <v>989.37</v>
      </c>
      <c r="G65" s="7"/>
      <c r="H65" s="52"/>
      <c r="I65" s="27"/>
      <c r="J65" s="28"/>
      <c r="K65" s="6"/>
      <c r="L65" s="6">
        <f>SUM(L40:L62)</f>
        <v>165.61</v>
      </c>
      <c r="M65" s="7"/>
      <c r="O65" s="7"/>
      <c r="Q65" s="7"/>
      <c r="S65" s="7"/>
      <c r="U65" s="7"/>
      <c r="W65" s="7"/>
    </row>
    <row r="66">
      <c r="A66" s="50"/>
      <c r="B66" s="50"/>
      <c r="C66" s="7"/>
      <c r="F66" s="7"/>
      <c r="G66" s="7"/>
      <c r="I66" s="7"/>
      <c r="K66" s="7"/>
      <c r="L66" s="7"/>
      <c r="M66" s="7"/>
      <c r="O66" s="7"/>
      <c r="Q66" s="7"/>
      <c r="S66" s="7"/>
      <c r="U66" s="7"/>
      <c r="W66" s="7"/>
    </row>
    <row r="67">
      <c r="A67" s="25"/>
      <c r="B67" s="26" t="s">
        <v>24</v>
      </c>
      <c r="C67" s="27"/>
      <c r="D67" s="27"/>
      <c r="E67" s="27"/>
      <c r="F67" s="28"/>
      <c r="G67" s="7"/>
      <c r="H67" s="26" t="s">
        <v>19</v>
      </c>
      <c r="I67" s="27"/>
      <c r="J67" s="27"/>
      <c r="K67" s="27"/>
      <c r="L67" s="28"/>
      <c r="M67" s="7"/>
      <c r="O67" s="7"/>
      <c r="Q67" s="7"/>
      <c r="S67" s="7"/>
      <c r="U67" s="7"/>
      <c r="W67" s="7"/>
    </row>
    <row r="68">
      <c r="A68" s="25"/>
      <c r="B68" s="26" t="s">
        <v>33</v>
      </c>
      <c r="C68" s="27"/>
      <c r="D68" s="28"/>
      <c r="E68" s="30" t="s">
        <v>34</v>
      </c>
      <c r="F68" s="31" t="s">
        <v>35</v>
      </c>
      <c r="G68" s="7"/>
      <c r="H68" s="26" t="s">
        <v>33</v>
      </c>
      <c r="I68" s="27"/>
      <c r="J68" s="28"/>
      <c r="K68" s="30" t="s">
        <v>34</v>
      </c>
      <c r="L68" s="31" t="s">
        <v>35</v>
      </c>
      <c r="M68" s="7"/>
      <c r="O68" s="7"/>
      <c r="Q68" s="7"/>
      <c r="S68" s="7"/>
      <c r="U68" s="7"/>
      <c r="W68" s="7"/>
    </row>
    <row r="69">
      <c r="A69" s="2"/>
      <c r="B69" s="35" t="s">
        <v>82</v>
      </c>
      <c r="C69" s="27"/>
      <c r="D69" s="28"/>
      <c r="E69" s="36">
        <v>43626.0</v>
      </c>
      <c r="F69" s="3">
        <v>20.0</v>
      </c>
      <c r="G69" s="7"/>
      <c r="H69" s="35" t="s">
        <v>122</v>
      </c>
      <c r="I69" s="27"/>
      <c r="J69" s="28"/>
      <c r="K69" s="36">
        <v>43632.0</v>
      </c>
      <c r="L69" s="3">
        <v>50.0</v>
      </c>
      <c r="M69" s="7"/>
      <c r="O69" s="7"/>
      <c r="Q69" s="7"/>
      <c r="S69" s="7"/>
      <c r="U69" s="7"/>
      <c r="W69" s="7"/>
    </row>
    <row r="70">
      <c r="A70" s="50"/>
      <c r="B70" s="35"/>
      <c r="C70" s="27"/>
      <c r="D70" s="28"/>
      <c r="E70" s="36"/>
      <c r="F70" s="3"/>
      <c r="G70" s="7"/>
      <c r="H70" s="35"/>
      <c r="I70" s="27"/>
      <c r="J70" s="28"/>
      <c r="K70" s="36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35"/>
      <c r="I71" s="27"/>
      <c r="J71" s="28"/>
      <c r="K71" s="36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35"/>
      <c r="I72" s="27"/>
      <c r="J72" s="28"/>
      <c r="K72" s="36"/>
      <c r="L72" s="3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45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45"/>
      <c r="L74" s="6"/>
      <c r="M74" s="7"/>
      <c r="O74" s="7"/>
      <c r="Q74" s="7"/>
      <c r="S74" s="7"/>
      <c r="U74" s="7"/>
      <c r="W74" s="7"/>
    </row>
    <row r="75">
      <c r="A75" s="50"/>
      <c r="B75" s="53"/>
      <c r="C75" s="27"/>
      <c r="D75" s="28"/>
      <c r="E75" s="45"/>
      <c r="F75" s="6"/>
      <c r="G75" s="7"/>
      <c r="H75" s="53"/>
      <c r="I75" s="27"/>
      <c r="J75" s="28"/>
      <c r="K75" s="45"/>
      <c r="L75" s="6"/>
      <c r="M75" s="7"/>
      <c r="O75" s="7"/>
      <c r="Q75" s="7"/>
      <c r="S75" s="7"/>
      <c r="U75" s="7"/>
      <c r="W75" s="7"/>
    </row>
    <row r="76">
      <c r="A76" s="2"/>
      <c r="B76" s="35" t="s">
        <v>17</v>
      </c>
      <c r="C76" s="27"/>
      <c r="D76" s="28"/>
      <c r="E76" s="45"/>
      <c r="F76" s="6">
        <f>SUM(F69:F75)</f>
        <v>20</v>
      </c>
      <c r="G76" s="7"/>
      <c r="H76" s="35" t="s">
        <v>17</v>
      </c>
      <c r="I76" s="27"/>
      <c r="J76" s="28"/>
      <c r="K76" s="45"/>
      <c r="L76" s="6">
        <f>SUM(L69:L75)</f>
        <v>50</v>
      </c>
      <c r="M76" s="7"/>
      <c r="O76" s="7"/>
      <c r="Q76" s="7"/>
      <c r="S76" s="7"/>
      <c r="U76" s="7"/>
      <c r="W76" s="7"/>
    </row>
    <row r="77">
      <c r="F77" s="7"/>
      <c r="G77" s="7"/>
      <c r="I77" s="7"/>
      <c r="K77" s="7"/>
      <c r="L77" s="7"/>
      <c r="M77" s="7"/>
      <c r="O77" s="7"/>
      <c r="Q77" s="7"/>
      <c r="S77" s="7"/>
      <c r="U77" s="7"/>
      <c r="W77" s="7"/>
    </row>
    <row r="78">
      <c r="A78" s="25"/>
      <c r="B78" s="26" t="s">
        <v>21</v>
      </c>
      <c r="C78" s="27"/>
      <c r="D78" s="27"/>
      <c r="E78" s="27"/>
      <c r="F78" s="28"/>
      <c r="G78" s="7"/>
      <c r="H78" s="26" t="s">
        <v>20</v>
      </c>
      <c r="I78" s="27"/>
      <c r="J78" s="27"/>
      <c r="K78" s="27"/>
      <c r="L78" s="28"/>
      <c r="M78" s="7"/>
      <c r="O78" s="7"/>
      <c r="Q78" s="7"/>
      <c r="S78" s="7"/>
      <c r="U78" s="7"/>
      <c r="W78" s="7"/>
    </row>
    <row r="79">
      <c r="A79" s="25"/>
      <c r="B79" s="26" t="s">
        <v>33</v>
      </c>
      <c r="C79" s="27"/>
      <c r="D79" s="28"/>
      <c r="E79" s="30" t="s">
        <v>34</v>
      </c>
      <c r="F79" s="31" t="s">
        <v>35</v>
      </c>
      <c r="G79" s="7"/>
      <c r="H79" s="26" t="s">
        <v>33</v>
      </c>
      <c r="I79" s="27"/>
      <c r="J79" s="28"/>
      <c r="K79" s="30" t="s">
        <v>34</v>
      </c>
      <c r="L79" s="31" t="s">
        <v>35</v>
      </c>
      <c r="M79" s="7"/>
      <c r="O79" s="7"/>
      <c r="Q79" s="7"/>
      <c r="S79" s="7"/>
      <c r="U79" s="7"/>
      <c r="W79" s="7"/>
    </row>
    <row r="80">
      <c r="A80" s="2"/>
      <c r="B80" s="35" t="s">
        <v>164</v>
      </c>
      <c r="C80" s="27"/>
      <c r="D80" s="28"/>
      <c r="E80" s="48">
        <v>43626.0</v>
      </c>
      <c r="F80" s="3">
        <v>37.94</v>
      </c>
      <c r="G80" s="7"/>
      <c r="H80" s="35" t="s">
        <v>125</v>
      </c>
      <c r="I80" s="27"/>
      <c r="J80" s="28"/>
      <c r="K80" s="36">
        <v>43626.0</v>
      </c>
      <c r="L80" s="3">
        <v>172.33</v>
      </c>
      <c r="M80" s="7"/>
      <c r="O80" s="7"/>
      <c r="Q80" s="7"/>
      <c r="S80" s="7"/>
      <c r="U80" s="7"/>
      <c r="W80" s="7"/>
    </row>
    <row r="81">
      <c r="A81" s="50"/>
      <c r="B81" s="35"/>
      <c r="C81" s="27"/>
      <c r="D81" s="28"/>
      <c r="E81" s="48"/>
      <c r="F81" s="3"/>
      <c r="G81" s="7"/>
      <c r="H81" s="53"/>
      <c r="I81" s="27"/>
      <c r="J81" s="28"/>
      <c r="K81" s="45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45"/>
      <c r="L82" s="6"/>
      <c r="M82" s="7">
        <f>L80+F80</f>
        <v>210.27</v>
      </c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45"/>
      <c r="L83" s="6"/>
      <c r="M83" s="7">
        <f>M82/4</f>
        <v>52.5675</v>
      </c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45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45"/>
      <c r="F85" s="6"/>
      <c r="G85" s="7"/>
      <c r="H85" s="53"/>
      <c r="I85" s="27"/>
      <c r="J85" s="28"/>
      <c r="K85" s="45"/>
      <c r="L85" s="6"/>
      <c r="M85" s="7"/>
      <c r="O85" s="7"/>
      <c r="Q85" s="7"/>
      <c r="S85" s="7"/>
      <c r="U85" s="7"/>
      <c r="W85" s="7"/>
    </row>
    <row r="86">
      <c r="A86" s="50"/>
      <c r="B86" s="53"/>
      <c r="C86" s="27"/>
      <c r="D86" s="28"/>
      <c r="E86" s="45"/>
      <c r="F86" s="6"/>
      <c r="G86" s="7"/>
      <c r="H86" s="53"/>
      <c r="I86" s="27"/>
      <c r="J86" s="28"/>
      <c r="K86" s="45"/>
      <c r="L86" s="6"/>
      <c r="M86" s="7"/>
      <c r="O86" s="7"/>
      <c r="Q86" s="7"/>
      <c r="S86" s="7"/>
      <c r="U86" s="7"/>
      <c r="W86" s="7"/>
    </row>
    <row r="87">
      <c r="A87" s="2"/>
      <c r="B87" s="35" t="s">
        <v>17</v>
      </c>
      <c r="C87" s="27"/>
      <c r="D87" s="28"/>
      <c r="E87" s="45"/>
      <c r="F87" s="6">
        <f>SUM(F80:F86)</f>
        <v>37.94</v>
      </c>
      <c r="G87" s="7"/>
      <c r="H87" s="35" t="s">
        <v>17</v>
      </c>
      <c r="I87" s="27"/>
      <c r="J87" s="28"/>
      <c r="K87" s="45"/>
      <c r="L87" s="6">
        <f>SUM(L80:L86)</f>
        <v>172.33</v>
      </c>
      <c r="M87" s="7"/>
      <c r="O87" s="7"/>
      <c r="Q87" s="7"/>
      <c r="S87" s="7"/>
      <c r="U87" s="7"/>
      <c r="W87" s="7"/>
    </row>
    <row r="88">
      <c r="F88" s="7"/>
      <c r="G88" s="7"/>
      <c r="I88" s="7"/>
      <c r="K88" s="7"/>
      <c r="L88" s="7"/>
      <c r="M88" s="7"/>
      <c r="O88" s="7"/>
      <c r="Q88" s="7"/>
      <c r="S88" s="7"/>
      <c r="U88" s="7"/>
      <c r="W88" s="7"/>
    </row>
    <row r="89">
      <c r="A89" s="25"/>
      <c r="B89" s="26" t="s">
        <v>22</v>
      </c>
      <c r="C89" s="27"/>
      <c r="D89" s="27"/>
      <c r="E89" s="27"/>
      <c r="F89" s="28"/>
      <c r="G89" s="7"/>
      <c r="H89" s="26" t="s">
        <v>248</v>
      </c>
      <c r="I89" s="27"/>
      <c r="J89" s="27"/>
      <c r="K89" s="27"/>
      <c r="L89" s="28"/>
      <c r="M89" s="7"/>
      <c r="O89" s="7"/>
      <c r="Q89" s="7"/>
      <c r="S89" s="7"/>
      <c r="U89" s="7"/>
      <c r="W89" s="7"/>
    </row>
    <row r="90">
      <c r="A90" s="25"/>
      <c r="B90" s="26" t="s">
        <v>33</v>
      </c>
      <c r="C90" s="27"/>
      <c r="D90" s="28"/>
      <c r="E90" s="30" t="s">
        <v>34</v>
      </c>
      <c r="F90" s="31" t="s">
        <v>35</v>
      </c>
      <c r="G90" s="7"/>
      <c r="H90" s="26" t="s">
        <v>33</v>
      </c>
      <c r="I90" s="27"/>
      <c r="J90" s="28"/>
      <c r="K90" s="30" t="s">
        <v>34</v>
      </c>
      <c r="L90" s="31" t="s">
        <v>35</v>
      </c>
      <c r="M90" s="7"/>
      <c r="O90" s="7"/>
      <c r="Q90" s="7"/>
      <c r="S90" s="7"/>
      <c r="U90" s="7"/>
      <c r="W90" s="7"/>
    </row>
    <row r="91">
      <c r="A91" s="2"/>
      <c r="B91" s="35" t="s">
        <v>22</v>
      </c>
      <c r="C91" s="27"/>
      <c r="D91" s="28"/>
      <c r="E91" s="36">
        <v>43640.0</v>
      </c>
      <c r="F91" s="3">
        <v>70.0</v>
      </c>
      <c r="G91" s="7"/>
      <c r="H91" s="35"/>
      <c r="I91" s="27"/>
      <c r="J91" s="28"/>
      <c r="K91" s="36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45"/>
      <c r="F92" s="6"/>
      <c r="G92" s="7"/>
      <c r="H92" s="35"/>
      <c r="I92" s="27"/>
      <c r="J92" s="28"/>
      <c r="K92" s="36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45"/>
      <c r="F93" s="6"/>
      <c r="G93" s="7"/>
      <c r="H93" s="35"/>
      <c r="I93" s="27"/>
      <c r="J93" s="28"/>
      <c r="K93" s="36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45"/>
      <c r="F94" s="6"/>
      <c r="G94" s="7"/>
      <c r="H94" s="35"/>
      <c r="I94" s="27"/>
      <c r="J94" s="28"/>
      <c r="K94" s="36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45"/>
      <c r="F95" s="6"/>
      <c r="G95" s="7"/>
      <c r="H95" s="35"/>
      <c r="I95" s="27"/>
      <c r="J95" s="28"/>
      <c r="K95" s="36"/>
      <c r="L95" s="3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45"/>
      <c r="F96" s="6"/>
      <c r="G96" s="7"/>
      <c r="H96" s="35"/>
      <c r="I96" s="27"/>
      <c r="J96" s="28"/>
      <c r="K96" s="36"/>
      <c r="L96" s="3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45"/>
      <c r="F97" s="6"/>
      <c r="G97" s="7"/>
      <c r="H97" s="35"/>
      <c r="I97" s="27"/>
      <c r="J97" s="28"/>
      <c r="K97" s="36"/>
      <c r="L97" s="6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45"/>
      <c r="F98" s="6"/>
      <c r="G98" s="7"/>
      <c r="H98" s="35"/>
      <c r="I98" s="27"/>
      <c r="J98" s="28"/>
      <c r="K98" s="36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45"/>
      <c r="F99" s="6"/>
      <c r="G99" s="7"/>
      <c r="H99" s="35"/>
      <c r="I99" s="27"/>
      <c r="J99" s="28"/>
      <c r="K99" s="36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45"/>
      <c r="F100" s="6"/>
      <c r="G100" s="7"/>
      <c r="H100" s="35"/>
      <c r="I100" s="27"/>
      <c r="J100" s="28"/>
      <c r="K100" s="36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45"/>
      <c r="F101" s="6"/>
      <c r="G101" s="7"/>
      <c r="H101" s="35"/>
      <c r="I101" s="27"/>
      <c r="J101" s="28"/>
      <c r="K101" s="36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45"/>
      <c r="F102" s="6"/>
      <c r="G102" s="7"/>
      <c r="H102" s="35"/>
      <c r="I102" s="27"/>
      <c r="J102" s="28"/>
      <c r="K102" s="36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45"/>
      <c r="F103" s="6"/>
      <c r="G103" s="7"/>
      <c r="H103" s="35"/>
      <c r="I103" s="27"/>
      <c r="J103" s="28"/>
      <c r="K103" s="36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45"/>
      <c r="F104" s="6"/>
      <c r="G104" s="7"/>
      <c r="H104" s="35"/>
      <c r="I104" s="27"/>
      <c r="J104" s="28"/>
      <c r="K104" s="36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45"/>
      <c r="F105" s="6"/>
      <c r="G105" s="7"/>
      <c r="H105" s="35"/>
      <c r="I105" s="27"/>
      <c r="J105" s="28"/>
      <c r="K105" s="36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45"/>
      <c r="F106" s="6"/>
      <c r="G106" s="7"/>
      <c r="H106" s="35"/>
      <c r="I106" s="27"/>
      <c r="J106" s="28"/>
      <c r="K106" s="36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45"/>
      <c r="F107" s="6"/>
      <c r="G107" s="7"/>
      <c r="H107" s="35"/>
      <c r="I107" s="27"/>
      <c r="J107" s="28"/>
      <c r="K107" s="36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45"/>
      <c r="F108" s="6"/>
      <c r="G108" s="7"/>
      <c r="H108" s="35"/>
      <c r="I108" s="27"/>
      <c r="J108" s="28"/>
      <c r="K108" s="36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45"/>
      <c r="F109" s="6"/>
      <c r="G109" s="7"/>
      <c r="H109" s="35"/>
      <c r="I109" s="27"/>
      <c r="J109" s="28"/>
      <c r="K109" s="36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45"/>
      <c r="F110" s="6"/>
      <c r="G110" s="7"/>
      <c r="H110" s="35"/>
      <c r="I110" s="27"/>
      <c r="J110" s="28"/>
      <c r="K110" s="36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45"/>
      <c r="F111" s="6"/>
      <c r="G111" s="7"/>
      <c r="H111" s="35"/>
      <c r="I111" s="27"/>
      <c r="J111" s="28"/>
      <c r="K111" s="36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45"/>
      <c r="F112" s="6"/>
      <c r="G112" s="7"/>
      <c r="H112" s="35"/>
      <c r="I112" s="27"/>
      <c r="J112" s="28"/>
      <c r="K112" s="36"/>
      <c r="L112" s="3"/>
      <c r="M112" s="7"/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45"/>
      <c r="F113" s="6"/>
      <c r="G113" s="7"/>
      <c r="H113" s="35"/>
      <c r="I113" s="27"/>
      <c r="J113" s="28"/>
      <c r="K113" s="36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45"/>
      <c r="F114" s="6"/>
      <c r="G114" s="7"/>
      <c r="H114" s="35"/>
      <c r="I114" s="27"/>
      <c r="J114" s="28"/>
      <c r="K114" s="36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45"/>
      <c r="F115" s="6"/>
      <c r="G115" s="7"/>
      <c r="H115" s="35"/>
      <c r="I115" s="27"/>
      <c r="J115" s="28"/>
      <c r="K115" s="36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45"/>
      <c r="F116" s="6"/>
      <c r="G116" s="7"/>
      <c r="H116" s="35"/>
      <c r="I116" s="27"/>
      <c r="J116" s="28"/>
      <c r="K116" s="36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45"/>
      <c r="F117" s="6"/>
      <c r="G117" s="7"/>
      <c r="H117" s="35"/>
      <c r="I117" s="27"/>
      <c r="J117" s="28"/>
      <c r="K117" s="36"/>
      <c r="L117" s="3"/>
      <c r="M117" s="7"/>
      <c r="O117" s="7"/>
      <c r="Q117" s="7"/>
      <c r="S117" s="7"/>
      <c r="U117" s="7"/>
      <c r="W117" s="7"/>
    </row>
    <row r="118">
      <c r="A118" s="50"/>
      <c r="B118" s="53"/>
      <c r="C118" s="27"/>
      <c r="D118" s="28"/>
      <c r="E118" s="45"/>
      <c r="F118" s="6"/>
      <c r="G118" s="7"/>
      <c r="H118" s="35"/>
      <c r="I118" s="27"/>
      <c r="J118" s="28"/>
      <c r="K118" s="36"/>
      <c r="L118" s="3"/>
      <c r="M118" s="7"/>
      <c r="O118" s="7"/>
      <c r="Q118" s="7"/>
      <c r="S118" s="7"/>
      <c r="U118" s="7"/>
      <c r="W118" s="7"/>
    </row>
    <row r="119">
      <c r="A119" s="50"/>
      <c r="B119" s="53"/>
      <c r="C119" s="27"/>
      <c r="D119" s="28"/>
      <c r="E119" s="45"/>
      <c r="F119" s="6"/>
      <c r="G119" s="7"/>
      <c r="H119" s="35"/>
      <c r="I119" s="27"/>
      <c r="J119" s="28"/>
      <c r="K119" s="36"/>
      <c r="L119" s="3"/>
      <c r="M119" s="7"/>
      <c r="O119" s="7"/>
      <c r="Q119" s="7"/>
      <c r="S119" s="7"/>
      <c r="U119" s="7"/>
      <c r="W119" s="7"/>
    </row>
    <row r="120">
      <c r="A120" s="2"/>
      <c r="B120" s="35" t="s">
        <v>17</v>
      </c>
      <c r="C120" s="27"/>
      <c r="D120" s="28"/>
      <c r="E120" s="45"/>
      <c r="F120" s="6">
        <f>SUM(F93:F97)</f>
        <v>0</v>
      </c>
      <c r="G120" s="7"/>
      <c r="H120" s="35" t="s">
        <v>17</v>
      </c>
      <c r="I120" s="27"/>
      <c r="J120" s="28"/>
      <c r="K120" s="45"/>
      <c r="L120" s="6">
        <f>SUM(L91:L119)</f>
        <v>0</v>
      </c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B122" s="26" t="s">
        <v>28</v>
      </c>
      <c r="C122" s="27"/>
      <c r="D122" s="27"/>
      <c r="E122" s="27"/>
      <c r="F122" s="28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B123" s="26" t="s">
        <v>33</v>
      </c>
      <c r="C123" s="27"/>
      <c r="D123" s="28"/>
      <c r="E123" s="30" t="s">
        <v>34</v>
      </c>
      <c r="F123" s="31" t="s">
        <v>35</v>
      </c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B124" s="35" t="s">
        <v>128</v>
      </c>
      <c r="C124" s="27"/>
      <c r="D124" s="28"/>
      <c r="E124" s="36">
        <v>43620.0</v>
      </c>
      <c r="F124" s="3">
        <v>15.0</v>
      </c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B125" s="35" t="s">
        <v>86</v>
      </c>
      <c r="C125" s="27"/>
      <c r="D125" s="28"/>
      <c r="E125" s="36">
        <v>43621.0</v>
      </c>
      <c r="F125" s="3">
        <v>10.0</v>
      </c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B126" s="35" t="s">
        <v>291</v>
      </c>
      <c r="C126" s="27"/>
      <c r="D126" s="28"/>
      <c r="E126" s="36">
        <v>43622.0</v>
      </c>
      <c r="F126" s="3">
        <v>300.0</v>
      </c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B127" s="35" t="s">
        <v>86</v>
      </c>
      <c r="C127" s="27"/>
      <c r="D127" s="28"/>
      <c r="E127" s="36">
        <v>43622.0</v>
      </c>
      <c r="F127" s="3">
        <v>41.57</v>
      </c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B128" s="35" t="s">
        <v>86</v>
      </c>
      <c r="C128" s="27"/>
      <c r="D128" s="28"/>
      <c r="E128" s="36">
        <v>43630.0</v>
      </c>
      <c r="F128" s="3">
        <v>20.0</v>
      </c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B129" s="35" t="s">
        <v>86</v>
      </c>
      <c r="C129" s="27"/>
      <c r="D129" s="28"/>
      <c r="E129" s="36">
        <v>43640.0</v>
      </c>
      <c r="F129" s="3">
        <v>20.0</v>
      </c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B130" s="53"/>
      <c r="C130" s="27"/>
      <c r="D130" s="28"/>
      <c r="E130" s="45"/>
      <c r="F130" s="6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B131" s="35" t="s">
        <v>17</v>
      </c>
      <c r="C131" s="27"/>
      <c r="D131" s="28"/>
      <c r="E131" s="45"/>
      <c r="F131" s="6">
        <f>SUM(F124:F130)</f>
        <v>406.57</v>
      </c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7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7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7"/>
      <c r="L1061" s="7"/>
      <c r="M1061" s="7"/>
      <c r="O1061" s="7"/>
      <c r="Q1061" s="7"/>
      <c r="S1061" s="7"/>
      <c r="U1061" s="7"/>
      <c r="W1061" s="7"/>
    </row>
    <row r="1062">
      <c r="F1062" s="7"/>
      <c r="G1062" s="7"/>
      <c r="I1062" s="7"/>
      <c r="K1062" s="7"/>
      <c r="L1062" s="7"/>
      <c r="M1062" s="7"/>
      <c r="O1062" s="7"/>
      <c r="Q1062" s="7"/>
      <c r="S1062" s="7"/>
      <c r="U1062" s="7"/>
      <c r="W1062" s="7"/>
    </row>
    <row r="1063">
      <c r="F1063" s="7"/>
      <c r="G1063" s="7"/>
      <c r="I1063" s="7"/>
      <c r="K1063" s="7"/>
      <c r="L1063" s="7"/>
      <c r="M1063" s="7"/>
      <c r="O1063" s="7"/>
      <c r="Q1063" s="7"/>
      <c r="S1063" s="7"/>
      <c r="U1063" s="7"/>
      <c r="W1063" s="7"/>
    </row>
  </sheetData>
  <mergeCells count="236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36:J36"/>
    <mergeCell ref="B38:F38"/>
    <mergeCell ref="H38:L38"/>
    <mergeCell ref="B65:D65"/>
    <mergeCell ref="B67:F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8:F78"/>
    <mergeCell ref="B79:D79"/>
    <mergeCell ref="B80:D80"/>
    <mergeCell ref="B89:F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25:D125"/>
    <mergeCell ref="B126:D126"/>
    <mergeCell ref="B127:D127"/>
    <mergeCell ref="B128:D128"/>
    <mergeCell ref="B129:D129"/>
    <mergeCell ref="B130:D130"/>
    <mergeCell ref="B131:D131"/>
    <mergeCell ref="B117:D117"/>
    <mergeCell ref="B118:D118"/>
    <mergeCell ref="B119:D119"/>
    <mergeCell ref="B120:D120"/>
    <mergeCell ref="B122:F122"/>
    <mergeCell ref="B123:D123"/>
    <mergeCell ref="B124:D124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81:D81"/>
    <mergeCell ref="B82:D82"/>
    <mergeCell ref="B83:D83"/>
    <mergeCell ref="B84:D84"/>
    <mergeCell ref="B85:D85"/>
    <mergeCell ref="B86:D86"/>
    <mergeCell ref="B87:D87"/>
    <mergeCell ref="H78:L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9:L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14:J114"/>
    <mergeCell ref="H115:J115"/>
    <mergeCell ref="H116:J116"/>
    <mergeCell ref="H117:J117"/>
    <mergeCell ref="H118:J118"/>
    <mergeCell ref="H119:J119"/>
    <mergeCell ref="H120:J120"/>
    <mergeCell ref="H107:J107"/>
    <mergeCell ref="H108:J108"/>
    <mergeCell ref="H109:J109"/>
    <mergeCell ref="H110:J110"/>
    <mergeCell ref="H111:J111"/>
    <mergeCell ref="H112:J112"/>
    <mergeCell ref="H113:J113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5:J65"/>
    <mergeCell ref="H67:L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292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1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/>
      <c r="C6" s="27"/>
      <c r="D6" s="28"/>
      <c r="E6" s="38"/>
      <c r="F6" s="31"/>
      <c r="G6" s="32"/>
      <c r="H6" s="35" t="s">
        <v>39</v>
      </c>
      <c r="I6" s="27"/>
      <c r="J6" s="28"/>
      <c r="K6" s="36">
        <v>43648.0</v>
      </c>
      <c r="L6" s="3">
        <v>1.0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36"/>
      <c r="F7" s="31"/>
      <c r="G7" s="37"/>
      <c r="H7" s="35" t="s">
        <v>39</v>
      </c>
      <c r="I7" s="27"/>
      <c r="J7" s="28"/>
      <c r="K7" s="36">
        <v>43649.0</v>
      </c>
      <c r="L7" s="3">
        <v>1.0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39</v>
      </c>
      <c r="I8" s="27"/>
      <c r="J8" s="28"/>
      <c r="K8" s="36">
        <v>43650.0</v>
      </c>
      <c r="L8" s="3">
        <v>1.0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39</v>
      </c>
      <c r="I9" s="27"/>
      <c r="J9" s="28"/>
      <c r="K9" s="36">
        <v>43651.0</v>
      </c>
      <c r="L9" s="3">
        <v>1.0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39</v>
      </c>
      <c r="I10" s="27"/>
      <c r="J10" s="28"/>
      <c r="K10" s="36">
        <v>43653.0</v>
      </c>
      <c r="L10" s="3">
        <v>1.5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293</v>
      </c>
      <c r="I11" s="27"/>
      <c r="J11" s="28"/>
      <c r="K11" s="36">
        <v>43652.0</v>
      </c>
      <c r="L11" s="3">
        <v>20.0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36">
        <v>43654.0</v>
      </c>
      <c r="L12" s="3">
        <v>1.5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294</v>
      </c>
      <c r="I13" s="27"/>
      <c r="J13" s="28"/>
      <c r="K13" s="36">
        <v>43654.0</v>
      </c>
      <c r="L13" s="3">
        <v>10.4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39</v>
      </c>
      <c r="I14" s="27"/>
      <c r="J14" s="28"/>
      <c r="K14" s="36">
        <v>43655.0</v>
      </c>
      <c r="L14" s="3">
        <v>1.5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43</v>
      </c>
      <c r="I15" s="27"/>
      <c r="J15" s="28"/>
      <c r="K15" s="36">
        <v>43654.0</v>
      </c>
      <c r="L15" s="3">
        <v>17.5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36">
        <v>43656.0</v>
      </c>
      <c r="L16" s="3">
        <v>1.5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39</v>
      </c>
      <c r="I17" s="27"/>
      <c r="J17" s="28"/>
      <c r="K17" s="36">
        <v>43657.0</v>
      </c>
      <c r="L17" s="3">
        <v>1.0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254</v>
      </c>
      <c r="I18" s="27"/>
      <c r="J18" s="28"/>
      <c r="K18" s="36">
        <v>43660.0</v>
      </c>
      <c r="L18" s="3">
        <v>2.5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39</v>
      </c>
      <c r="I19" s="27"/>
      <c r="J19" s="28"/>
      <c r="K19" s="36">
        <v>43661.0</v>
      </c>
      <c r="L19" s="3">
        <v>1.5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39</v>
      </c>
      <c r="I20" s="27"/>
      <c r="J20" s="28"/>
      <c r="K20" s="36">
        <v>43661.0</v>
      </c>
      <c r="L20" s="3">
        <v>1.5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39</v>
      </c>
      <c r="I21" s="27"/>
      <c r="J21" s="28"/>
      <c r="K21" s="36">
        <v>43662.0</v>
      </c>
      <c r="L21" s="3">
        <v>3.0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39</v>
      </c>
      <c r="I22" s="27"/>
      <c r="J22" s="28"/>
      <c r="K22" s="36">
        <v>43663.0</v>
      </c>
      <c r="L22" s="3">
        <v>1.5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73</v>
      </c>
      <c r="I23" s="27"/>
      <c r="J23" s="28"/>
      <c r="K23" s="36">
        <v>43662.0</v>
      </c>
      <c r="L23" s="3">
        <v>7.0</v>
      </c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8"/>
      <c r="F24" s="40"/>
      <c r="G24" s="37"/>
      <c r="H24" s="43" t="s">
        <v>295</v>
      </c>
      <c r="I24" s="27"/>
      <c r="J24" s="28"/>
      <c r="K24" s="36">
        <v>43664.0</v>
      </c>
      <c r="L24" s="3">
        <v>1.29</v>
      </c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8"/>
      <c r="F25" s="40"/>
      <c r="G25" s="37"/>
      <c r="H25" s="43" t="s">
        <v>93</v>
      </c>
      <c r="I25" s="27"/>
      <c r="J25" s="28"/>
      <c r="K25" s="36">
        <v>43666.0</v>
      </c>
      <c r="L25" s="3">
        <v>2.0</v>
      </c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8"/>
      <c r="F26" s="40"/>
      <c r="G26" s="37"/>
      <c r="H26" s="43" t="s">
        <v>296</v>
      </c>
      <c r="I26" s="27"/>
      <c r="J26" s="28"/>
      <c r="K26" s="36">
        <v>43666.0</v>
      </c>
      <c r="L26" s="3">
        <v>1.5</v>
      </c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8"/>
      <c r="F27" s="40"/>
      <c r="G27" s="37"/>
      <c r="H27" s="43" t="s">
        <v>297</v>
      </c>
      <c r="I27" s="27"/>
      <c r="J27" s="28"/>
      <c r="K27" s="36">
        <v>43666.0</v>
      </c>
      <c r="L27" s="3">
        <f>13.4/2</f>
        <v>6.7</v>
      </c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8"/>
      <c r="F28" s="40"/>
      <c r="G28" s="37"/>
      <c r="H28" s="43" t="s">
        <v>39</v>
      </c>
      <c r="I28" s="27"/>
      <c r="J28" s="28"/>
      <c r="K28" s="36">
        <v>43675.0</v>
      </c>
      <c r="L28" s="3">
        <v>1.5</v>
      </c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8"/>
      <c r="F29" s="40"/>
      <c r="G29" s="37"/>
      <c r="H29" s="43" t="s">
        <v>39</v>
      </c>
      <c r="I29" s="27"/>
      <c r="J29" s="28"/>
      <c r="K29" s="36">
        <v>43676.0</v>
      </c>
      <c r="L29" s="3">
        <v>1.5</v>
      </c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8"/>
      <c r="F30" s="40"/>
      <c r="G30" s="37"/>
      <c r="H30" s="43" t="s">
        <v>39</v>
      </c>
      <c r="I30" s="27"/>
      <c r="J30" s="28"/>
      <c r="K30" s="36">
        <v>43675.0</v>
      </c>
      <c r="L30" s="3">
        <v>1.5</v>
      </c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8"/>
      <c r="F31" s="40"/>
      <c r="G31" s="37"/>
      <c r="H31" s="43" t="s">
        <v>39</v>
      </c>
      <c r="I31" s="27"/>
      <c r="J31" s="28"/>
      <c r="K31" s="36">
        <v>43677.0</v>
      </c>
      <c r="L31" s="3">
        <v>1.5</v>
      </c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8"/>
      <c r="F32" s="40"/>
      <c r="G32" s="37"/>
      <c r="H32" s="43" t="s">
        <v>39</v>
      </c>
      <c r="I32" s="27"/>
      <c r="J32" s="28"/>
      <c r="K32" s="36">
        <v>43677.0</v>
      </c>
      <c r="L32" s="3">
        <v>1.0</v>
      </c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8"/>
      <c r="F33" s="40"/>
      <c r="G33" s="37"/>
      <c r="H33" s="43"/>
      <c r="I33" s="27"/>
      <c r="J33" s="28"/>
      <c r="K33" s="36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8"/>
      <c r="F34" s="40"/>
      <c r="G34" s="37"/>
      <c r="H34" s="43"/>
      <c r="I34" s="27"/>
      <c r="J34" s="28"/>
      <c r="K34" s="36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8"/>
      <c r="F35" s="40"/>
      <c r="G35" s="37"/>
      <c r="H35" s="43"/>
      <c r="I35" s="27"/>
      <c r="J35" s="28"/>
      <c r="K35" s="4"/>
      <c r="L35" s="3"/>
      <c r="M35" s="7"/>
      <c r="N35" s="41"/>
      <c r="O35" s="42"/>
      <c r="Q35" s="7"/>
      <c r="S35" s="7"/>
      <c r="U35" s="7"/>
      <c r="W35" s="7"/>
    </row>
    <row r="36">
      <c r="A36" s="2"/>
      <c r="B36" s="35" t="s">
        <v>17</v>
      </c>
      <c r="C36" s="27"/>
      <c r="D36" s="28"/>
      <c r="E36" s="45"/>
      <c r="F36" s="6">
        <f>SUM(F6:F12)</f>
        <v>0</v>
      </c>
      <c r="G36" s="7"/>
      <c r="H36" s="35" t="s">
        <v>17</v>
      </c>
      <c r="I36" s="27"/>
      <c r="J36" s="28"/>
      <c r="K36" s="6"/>
      <c r="L36" s="6">
        <f>SUM(L6:L35)</f>
        <v>94.39</v>
      </c>
      <c r="M36" s="7"/>
      <c r="N36" s="41"/>
      <c r="O36" s="20"/>
      <c r="Q36" s="7"/>
      <c r="S36" s="7"/>
      <c r="U36" s="7"/>
      <c r="W36" s="7"/>
    </row>
    <row r="37" ht="9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7"/>
      <c r="N37" s="46"/>
      <c r="O37" s="47"/>
      <c r="Q37" s="7"/>
      <c r="S37" s="7"/>
      <c r="U37" s="7"/>
      <c r="W37" s="7"/>
    </row>
    <row r="38">
      <c r="A38" s="25"/>
      <c r="B38" s="26" t="s">
        <v>26</v>
      </c>
      <c r="C38" s="27"/>
      <c r="D38" s="27"/>
      <c r="E38" s="27"/>
      <c r="F38" s="28"/>
      <c r="G38" s="25"/>
      <c r="H38" s="26" t="s">
        <v>25</v>
      </c>
      <c r="I38" s="27"/>
      <c r="J38" s="27"/>
      <c r="K38" s="27"/>
      <c r="L38" s="28"/>
      <c r="M38" s="7"/>
      <c r="N38" s="46"/>
      <c r="O38" s="47"/>
      <c r="Q38" s="7"/>
      <c r="S38" s="7"/>
      <c r="U38" s="7"/>
      <c r="W38" s="7"/>
    </row>
    <row r="39">
      <c r="A39" s="25"/>
      <c r="B39" s="26" t="s">
        <v>33</v>
      </c>
      <c r="C39" s="27"/>
      <c r="D39" s="28"/>
      <c r="E39" s="30" t="s">
        <v>34</v>
      </c>
      <c r="F39" s="31" t="s">
        <v>35</v>
      </c>
      <c r="G39" s="32"/>
      <c r="H39" s="26" t="s">
        <v>33</v>
      </c>
      <c r="I39" s="27"/>
      <c r="J39" s="28"/>
      <c r="K39" s="30" t="s">
        <v>34</v>
      </c>
      <c r="L39" s="31" t="s">
        <v>35</v>
      </c>
      <c r="M39" s="7"/>
      <c r="O39" s="7"/>
      <c r="Q39" s="7"/>
      <c r="S39" s="7"/>
      <c r="U39" s="7"/>
      <c r="W39" s="7"/>
    </row>
    <row r="40">
      <c r="A40" s="2"/>
      <c r="B40" s="35" t="s">
        <v>298</v>
      </c>
      <c r="C40" s="27"/>
      <c r="D40" s="28"/>
      <c r="E40" s="36">
        <v>43647.0</v>
      </c>
      <c r="F40" s="3">
        <v>50.0</v>
      </c>
      <c r="G40" s="5"/>
      <c r="H40" s="35" t="s">
        <v>299</v>
      </c>
      <c r="I40" s="27"/>
      <c r="J40" s="28"/>
      <c r="K40" s="48">
        <v>43648.0</v>
      </c>
      <c r="L40" s="49">
        <f>3.59+2.59</f>
        <v>6.18</v>
      </c>
      <c r="M40" s="7"/>
      <c r="O40" s="7"/>
      <c r="Q40" s="7"/>
      <c r="S40" s="7"/>
      <c r="U40" s="7"/>
      <c r="W40" s="7"/>
    </row>
    <row r="41">
      <c r="A41" s="50"/>
      <c r="B41" s="35" t="s">
        <v>300</v>
      </c>
      <c r="C41" s="27"/>
      <c r="D41" s="28"/>
      <c r="E41" s="36">
        <v>43649.0</v>
      </c>
      <c r="F41" s="3">
        <v>2.0</v>
      </c>
      <c r="G41" s="7"/>
      <c r="H41" s="35" t="s">
        <v>58</v>
      </c>
      <c r="I41" s="27"/>
      <c r="J41" s="28"/>
      <c r="K41" s="36">
        <v>43651.0</v>
      </c>
      <c r="L41" s="49">
        <v>3.5</v>
      </c>
      <c r="M41" s="7"/>
      <c r="O41" s="7"/>
      <c r="Q41" s="7"/>
      <c r="S41" s="7"/>
      <c r="U41" s="7"/>
      <c r="W41" s="7"/>
    </row>
    <row r="42">
      <c r="A42" s="50"/>
      <c r="B42" s="35" t="s">
        <v>301</v>
      </c>
      <c r="C42" s="27"/>
      <c r="D42" s="28"/>
      <c r="E42" s="36">
        <v>43650.0</v>
      </c>
      <c r="F42" s="3">
        <v>3.4</v>
      </c>
      <c r="G42" s="7"/>
      <c r="H42" s="35" t="s">
        <v>302</v>
      </c>
      <c r="I42" s="27"/>
      <c r="J42" s="28"/>
      <c r="K42" s="36">
        <v>43651.0</v>
      </c>
      <c r="L42" s="49">
        <v>4.0</v>
      </c>
      <c r="M42" s="7"/>
      <c r="O42" s="7"/>
      <c r="Q42" s="7"/>
      <c r="S42" s="7"/>
      <c r="U42" s="7"/>
      <c r="W42" s="7"/>
    </row>
    <row r="43">
      <c r="A43" s="50"/>
      <c r="B43" s="35" t="s">
        <v>81</v>
      </c>
      <c r="C43" s="27"/>
      <c r="D43" s="28"/>
      <c r="E43" s="36">
        <v>43651.0</v>
      </c>
      <c r="F43" s="3">
        <v>3.0</v>
      </c>
      <c r="G43" s="7"/>
      <c r="H43" s="35" t="s">
        <v>303</v>
      </c>
      <c r="I43" s="27"/>
      <c r="J43" s="28"/>
      <c r="K43" s="36">
        <v>43651.0</v>
      </c>
      <c r="L43" s="49">
        <v>6.38</v>
      </c>
      <c r="M43" s="7"/>
      <c r="O43" s="7"/>
      <c r="Q43" s="7"/>
      <c r="S43" s="7"/>
      <c r="U43" s="7"/>
      <c r="W43" s="7"/>
    </row>
    <row r="44">
      <c r="A44" s="50"/>
      <c r="B44" s="35" t="s">
        <v>304</v>
      </c>
      <c r="C44" s="27"/>
      <c r="D44" s="28"/>
      <c r="E44" s="36">
        <v>43651.0</v>
      </c>
      <c r="F44" s="3">
        <v>11.05</v>
      </c>
      <c r="G44" s="7"/>
      <c r="H44" s="35" t="s">
        <v>305</v>
      </c>
      <c r="I44" s="27"/>
      <c r="J44" s="28"/>
      <c r="K44" s="36">
        <v>43652.0</v>
      </c>
      <c r="L44" s="49">
        <v>1.59</v>
      </c>
      <c r="M44" s="7"/>
      <c r="O44" s="7"/>
      <c r="Q44" s="7"/>
      <c r="S44" s="7"/>
      <c r="U44" s="7"/>
      <c r="W44" s="7"/>
    </row>
    <row r="45">
      <c r="A45" s="50"/>
      <c r="B45" s="35" t="s">
        <v>81</v>
      </c>
      <c r="C45" s="27"/>
      <c r="D45" s="28"/>
      <c r="E45" s="36">
        <v>43653.0</v>
      </c>
      <c r="F45" s="3">
        <v>5.19</v>
      </c>
      <c r="G45" s="7"/>
      <c r="H45" s="35" t="s">
        <v>98</v>
      </c>
      <c r="I45" s="27"/>
      <c r="J45" s="28"/>
      <c r="K45" s="48">
        <v>43653.0</v>
      </c>
      <c r="L45" s="49">
        <v>7.5</v>
      </c>
      <c r="M45" s="7"/>
      <c r="O45" s="7"/>
      <c r="P45" s="2"/>
      <c r="Q45" s="7"/>
      <c r="S45" s="7"/>
      <c r="U45" s="7"/>
      <c r="W45" s="7"/>
    </row>
    <row r="46">
      <c r="A46" s="50"/>
      <c r="B46" s="35" t="s">
        <v>306</v>
      </c>
      <c r="C46" s="27"/>
      <c r="D46" s="28"/>
      <c r="E46" s="36">
        <v>43655.0</v>
      </c>
      <c r="F46" s="3">
        <v>15.5</v>
      </c>
      <c r="G46" s="7"/>
      <c r="H46" s="35" t="s">
        <v>307</v>
      </c>
      <c r="I46" s="27"/>
      <c r="J46" s="28"/>
      <c r="K46" s="36">
        <v>43656.0</v>
      </c>
      <c r="L46" s="49">
        <v>8.0</v>
      </c>
      <c r="M46" s="7"/>
      <c r="O46" s="7"/>
      <c r="Q46" s="7"/>
      <c r="S46" s="7"/>
      <c r="U46" s="7"/>
      <c r="W46" s="7"/>
    </row>
    <row r="47">
      <c r="A47" s="50"/>
      <c r="B47" s="35" t="s">
        <v>308</v>
      </c>
      <c r="C47" s="27"/>
      <c r="D47" s="28"/>
      <c r="E47" s="36">
        <v>43657.0</v>
      </c>
      <c r="F47" s="3">
        <v>140.0</v>
      </c>
      <c r="G47" s="7"/>
      <c r="H47" s="35" t="s">
        <v>309</v>
      </c>
      <c r="I47" s="27"/>
      <c r="J47" s="28"/>
      <c r="K47" s="36">
        <v>43660.0</v>
      </c>
      <c r="L47" s="51">
        <f>7.38-3</f>
        <v>4.38</v>
      </c>
      <c r="M47" s="7"/>
      <c r="O47" s="7"/>
      <c r="Q47" s="7"/>
      <c r="S47" s="7"/>
      <c r="U47" s="7"/>
      <c r="W47" s="7"/>
    </row>
    <row r="48">
      <c r="A48" s="50"/>
      <c r="B48" s="35" t="s">
        <v>310</v>
      </c>
      <c r="C48" s="27"/>
      <c r="D48" s="28"/>
      <c r="E48" s="36">
        <v>43657.0</v>
      </c>
      <c r="F48" s="3">
        <v>15.0</v>
      </c>
      <c r="G48" s="7"/>
      <c r="H48" s="35" t="s">
        <v>58</v>
      </c>
      <c r="I48" s="27"/>
      <c r="J48" s="28"/>
      <c r="K48" s="36">
        <v>43664.0</v>
      </c>
      <c r="L48" s="49">
        <v>3.49</v>
      </c>
      <c r="M48" s="7"/>
      <c r="O48" s="7"/>
      <c r="Q48" s="7"/>
      <c r="S48" s="7"/>
      <c r="U48" s="7"/>
      <c r="W48" s="7"/>
    </row>
    <row r="49">
      <c r="A49" s="50"/>
      <c r="B49" s="35" t="s">
        <v>311</v>
      </c>
      <c r="C49" s="27"/>
      <c r="D49" s="28"/>
      <c r="E49" s="36">
        <v>43658.0</v>
      </c>
      <c r="F49" s="3">
        <v>150.0</v>
      </c>
      <c r="G49" s="7"/>
      <c r="H49" s="35" t="s">
        <v>312</v>
      </c>
      <c r="I49" s="27"/>
      <c r="J49" s="28"/>
      <c r="K49" s="36">
        <v>43675.0</v>
      </c>
      <c r="L49" s="49">
        <v>6.0</v>
      </c>
      <c r="M49" s="7"/>
      <c r="O49" s="7"/>
      <c r="Q49" s="7"/>
      <c r="S49" s="7"/>
      <c r="U49" s="7"/>
      <c r="W49" s="7"/>
    </row>
    <row r="50">
      <c r="A50" s="50"/>
      <c r="B50" s="35" t="s">
        <v>313</v>
      </c>
      <c r="C50" s="27"/>
      <c r="D50" s="28"/>
      <c r="E50" s="36">
        <v>43658.0</v>
      </c>
      <c r="F50" s="3">
        <v>9.86</v>
      </c>
      <c r="G50" s="7"/>
      <c r="H50" s="35" t="s">
        <v>314</v>
      </c>
      <c r="I50" s="27"/>
      <c r="J50" s="28"/>
      <c r="K50" s="36">
        <v>43676.0</v>
      </c>
      <c r="L50" s="49">
        <v>6.0</v>
      </c>
      <c r="M50" s="7"/>
      <c r="O50" s="7"/>
      <c r="Q50" s="7"/>
      <c r="S50" s="7"/>
      <c r="U50" s="7"/>
      <c r="W50" s="7"/>
    </row>
    <row r="51">
      <c r="A51" s="50"/>
      <c r="B51" s="35" t="s">
        <v>315</v>
      </c>
      <c r="C51" s="27"/>
      <c r="D51" s="28"/>
      <c r="E51" s="36">
        <v>43660.0</v>
      </c>
      <c r="F51" s="3">
        <v>10.5</v>
      </c>
      <c r="G51" s="7"/>
      <c r="H51" s="35" t="s">
        <v>58</v>
      </c>
      <c r="I51" s="27"/>
      <c r="J51" s="28"/>
      <c r="K51" s="57">
        <v>43677.0</v>
      </c>
      <c r="L51" s="49">
        <v>3.5</v>
      </c>
      <c r="M51" s="7"/>
      <c r="O51" s="7"/>
      <c r="Q51" s="7"/>
      <c r="S51" s="7"/>
      <c r="U51" s="7"/>
      <c r="W51" s="7"/>
    </row>
    <row r="52">
      <c r="A52" s="50"/>
      <c r="B52" s="35" t="s">
        <v>316</v>
      </c>
      <c r="C52" s="27"/>
      <c r="D52" s="28"/>
      <c r="E52" s="36">
        <v>43664.0</v>
      </c>
      <c r="F52" s="3">
        <v>174.83</v>
      </c>
      <c r="G52" s="7"/>
      <c r="H52" s="52"/>
      <c r="I52" s="27"/>
      <c r="J52" s="28"/>
      <c r="K52" s="6"/>
      <c r="L52" s="51"/>
      <c r="M52" s="7"/>
      <c r="O52" s="7"/>
      <c r="Q52" s="7"/>
      <c r="S52" s="7"/>
      <c r="U52" s="7"/>
      <c r="W52" s="7"/>
    </row>
    <row r="53">
      <c r="A53" s="50"/>
      <c r="B53" s="35" t="s">
        <v>317</v>
      </c>
      <c r="C53" s="27"/>
      <c r="D53" s="28"/>
      <c r="E53" s="36">
        <v>43664.0</v>
      </c>
      <c r="F53" s="3">
        <v>150.0</v>
      </c>
      <c r="G53" s="7"/>
      <c r="H53" s="52"/>
      <c r="I53" s="27"/>
      <c r="J53" s="28"/>
      <c r="K53" s="6"/>
      <c r="L53" s="51"/>
      <c r="M53" s="7"/>
      <c r="O53" s="7"/>
      <c r="Q53" s="7"/>
      <c r="S53" s="7"/>
      <c r="U53" s="7"/>
      <c r="W53" s="7"/>
    </row>
    <row r="54">
      <c r="A54" s="50"/>
      <c r="B54" s="35" t="s">
        <v>318</v>
      </c>
      <c r="C54" s="27"/>
      <c r="D54" s="28"/>
      <c r="E54" s="58">
        <v>43666.0</v>
      </c>
      <c r="F54" s="3">
        <v>30.78</v>
      </c>
      <c r="G54" s="7"/>
      <c r="H54" s="52"/>
      <c r="I54" s="27"/>
      <c r="J54" s="28"/>
      <c r="K54" s="6"/>
      <c r="L54" s="51"/>
      <c r="M54" s="7"/>
      <c r="O54" s="7"/>
      <c r="Q54" s="7"/>
      <c r="S54" s="7"/>
      <c r="U54" s="7"/>
      <c r="W54" s="7"/>
    </row>
    <row r="55">
      <c r="A55" s="50"/>
      <c r="B55" s="35" t="s">
        <v>319</v>
      </c>
      <c r="C55" s="27"/>
      <c r="D55" s="28"/>
      <c r="E55" s="58">
        <v>43666.0</v>
      </c>
      <c r="F55" s="3">
        <v>10.0</v>
      </c>
      <c r="G55" s="7"/>
      <c r="H55" s="52"/>
      <c r="I55" s="27"/>
      <c r="J55" s="28"/>
      <c r="K55" s="6"/>
      <c r="L55" s="51"/>
      <c r="M55" s="7"/>
      <c r="O55" s="7"/>
      <c r="Q55" s="7"/>
      <c r="S55" s="7"/>
      <c r="U55" s="7"/>
      <c r="W55" s="7"/>
    </row>
    <row r="56">
      <c r="A56" s="50"/>
      <c r="B56" s="35" t="s">
        <v>320</v>
      </c>
      <c r="C56" s="27"/>
      <c r="D56" s="28"/>
      <c r="E56" s="58">
        <v>43675.0</v>
      </c>
      <c r="F56" s="3">
        <v>100.0</v>
      </c>
      <c r="G56" s="7"/>
      <c r="H56" s="52"/>
      <c r="I56" s="27"/>
      <c r="J56" s="28"/>
      <c r="K56" s="6"/>
      <c r="L56" s="51"/>
      <c r="M56" s="7"/>
      <c r="O56" s="7"/>
      <c r="Q56" s="7"/>
      <c r="S56" s="7"/>
      <c r="U56" s="7"/>
      <c r="W56" s="7"/>
    </row>
    <row r="57">
      <c r="A57" s="50"/>
      <c r="B57" s="35" t="s">
        <v>77</v>
      </c>
      <c r="C57" s="27"/>
      <c r="D57" s="28"/>
      <c r="E57" s="58">
        <v>43675.0</v>
      </c>
      <c r="F57" s="3">
        <f>73.64/2</f>
        <v>36.82</v>
      </c>
      <c r="G57" s="7"/>
      <c r="H57" s="52"/>
      <c r="I57" s="27"/>
      <c r="J57" s="28"/>
      <c r="K57" s="6"/>
      <c r="L57" s="51"/>
      <c r="M57" s="7"/>
      <c r="O57" s="7"/>
      <c r="Q57" s="7"/>
      <c r="S57" s="7"/>
      <c r="U57" s="7"/>
      <c r="W57" s="7"/>
    </row>
    <row r="58">
      <c r="A58" s="50"/>
      <c r="B58" s="35" t="s">
        <v>321</v>
      </c>
      <c r="C58" s="27"/>
      <c r="D58" s="28"/>
      <c r="E58" s="58">
        <v>43676.0</v>
      </c>
      <c r="F58" s="3">
        <v>50.0</v>
      </c>
      <c r="G58" s="7"/>
      <c r="H58" s="52"/>
      <c r="I58" s="27"/>
      <c r="J58" s="28"/>
      <c r="K58" s="6"/>
      <c r="L58" s="51"/>
      <c r="M58" s="7"/>
      <c r="O58" s="7"/>
      <c r="Q58" s="7"/>
      <c r="S58" s="7"/>
      <c r="U58" s="7"/>
      <c r="W58" s="7"/>
    </row>
    <row r="59">
      <c r="A59" s="50"/>
      <c r="B59" s="35" t="s">
        <v>322</v>
      </c>
      <c r="C59" s="27"/>
      <c r="D59" s="28"/>
      <c r="E59" s="58">
        <v>43677.0</v>
      </c>
      <c r="F59" s="3">
        <v>46.0</v>
      </c>
      <c r="G59" s="7"/>
      <c r="H59" s="52"/>
      <c r="I59" s="27"/>
      <c r="J59" s="28"/>
      <c r="K59" s="6"/>
      <c r="L59" s="51"/>
      <c r="M59" s="7"/>
      <c r="O59" s="7"/>
      <c r="Q59" s="7"/>
      <c r="S59" s="7"/>
      <c r="U59" s="7"/>
      <c r="W59" s="7"/>
    </row>
    <row r="60">
      <c r="A60" s="50"/>
      <c r="B60" s="35"/>
      <c r="C60" s="27"/>
      <c r="D60" s="28"/>
      <c r="E60" s="58"/>
      <c r="F60" s="3"/>
      <c r="G60" s="7"/>
      <c r="H60" s="52"/>
      <c r="I60" s="27"/>
      <c r="J60" s="28"/>
      <c r="K60" s="6"/>
      <c r="L60" s="51"/>
      <c r="M60" s="7"/>
      <c r="O60" s="7"/>
      <c r="Q60" s="7"/>
      <c r="S60" s="7"/>
      <c r="U60" s="7"/>
      <c r="W60" s="7"/>
    </row>
    <row r="61">
      <c r="A61" s="50"/>
      <c r="B61" s="35"/>
      <c r="C61" s="27"/>
      <c r="D61" s="28"/>
      <c r="E61" s="58"/>
      <c r="F61" s="3"/>
      <c r="G61" s="7"/>
      <c r="H61" s="52"/>
      <c r="I61" s="27"/>
      <c r="J61" s="28"/>
      <c r="K61" s="6"/>
      <c r="L61" s="51"/>
      <c r="M61" s="7"/>
      <c r="O61" s="7"/>
      <c r="Q61" s="7"/>
      <c r="S61" s="7"/>
      <c r="U61" s="7"/>
      <c r="W61" s="7"/>
    </row>
    <row r="62">
      <c r="A62" s="50"/>
      <c r="B62" s="35"/>
      <c r="C62" s="27"/>
      <c r="D62" s="28"/>
      <c r="E62" s="58"/>
      <c r="F62" s="3"/>
      <c r="G62" s="7"/>
      <c r="H62" s="52"/>
      <c r="I62" s="27"/>
      <c r="J62" s="28"/>
      <c r="K62" s="6"/>
      <c r="L62" s="51"/>
      <c r="M62" s="7"/>
      <c r="O62" s="7"/>
      <c r="Q62" s="7"/>
      <c r="S62" s="7"/>
      <c r="U62" s="7"/>
      <c r="W62" s="7"/>
    </row>
    <row r="63">
      <c r="A63" s="2"/>
      <c r="B63" s="35" t="s">
        <v>17</v>
      </c>
      <c r="C63" s="27"/>
      <c r="D63" s="28"/>
      <c r="E63" s="45"/>
      <c r="F63" s="6">
        <f>SUM(F40:F62)</f>
        <v>1013.93</v>
      </c>
      <c r="G63" s="7"/>
      <c r="H63" s="52"/>
      <c r="I63" s="27"/>
      <c r="J63" s="28"/>
      <c r="K63" s="6"/>
      <c r="L63" s="6">
        <f>SUM(L40:L54)</f>
        <v>60.52</v>
      </c>
      <c r="M63" s="7"/>
      <c r="O63" s="7"/>
      <c r="Q63" s="7"/>
      <c r="S63" s="7"/>
      <c r="U63" s="7"/>
      <c r="W63" s="7"/>
    </row>
    <row r="64">
      <c r="A64" s="50"/>
      <c r="B64" s="50"/>
      <c r="C64" s="7"/>
      <c r="F64" s="7"/>
      <c r="G64" s="7"/>
      <c r="I64" s="7"/>
      <c r="K64" s="7"/>
      <c r="L64" s="7"/>
      <c r="M64" s="7"/>
      <c r="O64" s="7"/>
      <c r="Q64" s="7"/>
      <c r="S64" s="7"/>
      <c r="U64" s="7"/>
      <c r="W64" s="7"/>
    </row>
    <row r="65">
      <c r="A65" s="25"/>
      <c r="B65" s="26" t="s">
        <v>24</v>
      </c>
      <c r="C65" s="27"/>
      <c r="D65" s="27"/>
      <c r="E65" s="27"/>
      <c r="F65" s="28"/>
      <c r="G65" s="7"/>
      <c r="H65" s="26" t="s">
        <v>19</v>
      </c>
      <c r="I65" s="27"/>
      <c r="J65" s="27"/>
      <c r="K65" s="27"/>
      <c r="L65" s="28"/>
      <c r="M65" s="7"/>
      <c r="O65" s="7"/>
      <c r="Q65" s="7"/>
      <c r="S65" s="7"/>
      <c r="U65" s="7"/>
      <c r="W65" s="7"/>
    </row>
    <row r="66">
      <c r="A66" s="25"/>
      <c r="B66" s="26" t="s">
        <v>33</v>
      </c>
      <c r="C66" s="27"/>
      <c r="D66" s="28"/>
      <c r="E66" s="30" t="s">
        <v>34</v>
      </c>
      <c r="F66" s="31" t="s">
        <v>35</v>
      </c>
      <c r="G66" s="7"/>
      <c r="H66" s="26" t="s">
        <v>33</v>
      </c>
      <c r="I66" s="27"/>
      <c r="J66" s="28"/>
      <c r="K66" s="30" t="s">
        <v>34</v>
      </c>
      <c r="L66" s="31" t="s">
        <v>35</v>
      </c>
      <c r="M66" s="7"/>
      <c r="O66" s="7"/>
      <c r="Q66" s="7"/>
      <c r="S66" s="7"/>
      <c r="U66" s="7"/>
      <c r="W66" s="7"/>
    </row>
    <row r="67">
      <c r="A67" s="2"/>
      <c r="B67" s="35" t="s">
        <v>82</v>
      </c>
      <c r="C67" s="27"/>
      <c r="D67" s="28"/>
      <c r="E67" s="48">
        <v>43651.0</v>
      </c>
      <c r="F67" s="49">
        <v>20.0</v>
      </c>
      <c r="G67" s="7"/>
      <c r="H67" s="35" t="s">
        <v>163</v>
      </c>
      <c r="I67" s="27"/>
      <c r="J67" s="28"/>
      <c r="K67" s="36">
        <v>43664.0</v>
      </c>
      <c r="L67" s="3">
        <v>50.0</v>
      </c>
      <c r="M67" s="7"/>
      <c r="O67" s="7"/>
      <c r="Q67" s="7"/>
      <c r="S67" s="7"/>
      <c r="U67" s="7"/>
      <c r="W67" s="7"/>
    </row>
    <row r="68">
      <c r="A68" s="50"/>
      <c r="B68" s="35" t="s">
        <v>82</v>
      </c>
      <c r="C68" s="27"/>
      <c r="D68" s="28"/>
      <c r="E68" s="36">
        <v>43675.0</v>
      </c>
      <c r="F68" s="3">
        <v>10.0</v>
      </c>
      <c r="G68" s="7"/>
      <c r="H68" s="35"/>
      <c r="I68" s="27"/>
      <c r="J68" s="28"/>
      <c r="K68" s="36"/>
      <c r="L68" s="3"/>
      <c r="M68" s="7"/>
      <c r="O68" s="7"/>
      <c r="Q68" s="7"/>
      <c r="S68" s="7"/>
      <c r="U68" s="7"/>
      <c r="W68" s="7"/>
    </row>
    <row r="69">
      <c r="A69" s="50"/>
      <c r="B69" s="53"/>
      <c r="C69" s="27"/>
      <c r="D69" s="28"/>
      <c r="E69" s="45"/>
      <c r="F69" s="6"/>
      <c r="G69" s="7"/>
      <c r="H69" s="35"/>
      <c r="I69" s="27"/>
      <c r="J69" s="28"/>
      <c r="K69" s="36"/>
      <c r="L69" s="3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45"/>
      <c r="F70" s="6"/>
      <c r="G70" s="7"/>
      <c r="H70" s="35"/>
      <c r="I70" s="27"/>
      <c r="J70" s="28"/>
      <c r="K70" s="36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53"/>
      <c r="I71" s="27"/>
      <c r="J71" s="28"/>
      <c r="K71" s="45"/>
      <c r="L71" s="6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53"/>
      <c r="I72" s="27"/>
      <c r="J72" s="28"/>
      <c r="K72" s="45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45"/>
      <c r="L73" s="6"/>
      <c r="M73" s="7"/>
      <c r="O73" s="7"/>
      <c r="Q73" s="7"/>
      <c r="S73" s="7"/>
      <c r="U73" s="7"/>
      <c r="W73" s="7"/>
    </row>
    <row r="74">
      <c r="A74" s="2"/>
      <c r="B74" s="35" t="s">
        <v>17</v>
      </c>
      <c r="C74" s="27"/>
      <c r="D74" s="28"/>
      <c r="E74" s="45"/>
      <c r="F74" s="6">
        <f>SUM(F67:F73)</f>
        <v>30</v>
      </c>
      <c r="G74" s="7"/>
      <c r="H74" s="35" t="s">
        <v>17</v>
      </c>
      <c r="I74" s="27"/>
      <c r="J74" s="28"/>
      <c r="K74" s="45"/>
      <c r="L74" s="6">
        <f>SUM(L67:L73)</f>
        <v>50</v>
      </c>
      <c r="M74" s="7"/>
      <c r="O74" s="7"/>
      <c r="Q74" s="7"/>
      <c r="S74" s="7"/>
      <c r="U74" s="7"/>
      <c r="W74" s="7"/>
    </row>
    <row r="75">
      <c r="F75" s="7"/>
      <c r="G75" s="7"/>
      <c r="I75" s="7"/>
      <c r="K75" s="7"/>
      <c r="L75" s="7"/>
      <c r="M75" s="7"/>
      <c r="O75" s="7"/>
      <c r="Q75" s="7"/>
      <c r="S75" s="7"/>
      <c r="U75" s="7"/>
      <c r="W75" s="7"/>
    </row>
    <row r="76">
      <c r="A76" s="25"/>
      <c r="B76" s="26" t="s">
        <v>21</v>
      </c>
      <c r="C76" s="27"/>
      <c r="D76" s="27"/>
      <c r="E76" s="27"/>
      <c r="F76" s="28"/>
      <c r="G76" s="7"/>
      <c r="H76" s="26" t="s">
        <v>20</v>
      </c>
      <c r="I76" s="27"/>
      <c r="J76" s="27"/>
      <c r="K76" s="27"/>
      <c r="L76" s="28"/>
      <c r="M76" s="7"/>
      <c r="O76" s="7"/>
      <c r="Q76" s="7"/>
      <c r="S76" s="7"/>
      <c r="U76" s="7"/>
      <c r="W76" s="7"/>
    </row>
    <row r="77">
      <c r="A77" s="25"/>
      <c r="B77" s="26" t="s">
        <v>33</v>
      </c>
      <c r="C77" s="27"/>
      <c r="D77" s="28"/>
      <c r="E77" s="30" t="s">
        <v>34</v>
      </c>
      <c r="F77" s="31" t="s">
        <v>35</v>
      </c>
      <c r="G77" s="7"/>
      <c r="H77" s="26" t="s">
        <v>33</v>
      </c>
      <c r="I77" s="27"/>
      <c r="J77" s="28"/>
      <c r="K77" s="30" t="s">
        <v>34</v>
      </c>
      <c r="L77" s="31" t="s">
        <v>35</v>
      </c>
      <c r="M77" s="7"/>
      <c r="O77" s="7"/>
      <c r="Q77" s="7"/>
      <c r="S77" s="7"/>
      <c r="U77" s="7"/>
      <c r="W77" s="7"/>
    </row>
    <row r="78">
      <c r="A78" s="2"/>
      <c r="B78" s="35" t="s">
        <v>323</v>
      </c>
      <c r="C78" s="27"/>
      <c r="D78" s="28"/>
      <c r="E78" s="48">
        <v>43656.0</v>
      </c>
      <c r="F78" s="3">
        <v>3.0</v>
      </c>
      <c r="G78" s="7"/>
      <c r="H78" s="35" t="s">
        <v>125</v>
      </c>
      <c r="I78" s="27"/>
      <c r="J78" s="28"/>
      <c r="K78" s="36">
        <v>43656.0</v>
      </c>
      <c r="L78" s="3">
        <f>139-62.6</f>
        <v>76.4</v>
      </c>
      <c r="M78" s="7"/>
      <c r="O78" s="7"/>
      <c r="Q78" s="7"/>
      <c r="S78" s="7"/>
      <c r="U78" s="7"/>
      <c r="W78" s="7"/>
    </row>
    <row r="79">
      <c r="A79" s="50"/>
      <c r="B79" s="53"/>
      <c r="C79" s="27"/>
      <c r="D79" s="28"/>
      <c r="E79" s="45"/>
      <c r="F79" s="6"/>
      <c r="G79" s="7"/>
      <c r="H79" s="35" t="s">
        <v>125</v>
      </c>
      <c r="I79" s="27"/>
      <c r="J79" s="28"/>
      <c r="K79" s="36">
        <v>43677.0</v>
      </c>
      <c r="L79" s="6">
        <f>227.47-76</f>
        <v>151.47</v>
      </c>
      <c r="M79" s="7">
        <f>227.47/3</f>
        <v>75.82333333</v>
      </c>
      <c r="O79" s="7"/>
      <c r="Q79" s="7"/>
      <c r="S79" s="7"/>
      <c r="U79" s="7"/>
      <c r="W79" s="7"/>
    </row>
    <row r="80">
      <c r="A80" s="50"/>
      <c r="B80" s="53"/>
      <c r="C80" s="27"/>
      <c r="D80" s="28"/>
      <c r="E80" s="45"/>
      <c r="F80" s="6"/>
      <c r="G80" s="7"/>
      <c r="H80" s="53"/>
      <c r="I80" s="27"/>
      <c r="J80" s="28"/>
      <c r="K80" s="45"/>
      <c r="L80" s="6"/>
      <c r="M80" s="7">
        <f>M79+51.03</f>
        <v>126.8533333</v>
      </c>
      <c r="O80" s="7"/>
      <c r="Q80" s="7"/>
      <c r="S80" s="7"/>
      <c r="U80" s="7"/>
      <c r="W80" s="7"/>
    </row>
    <row r="81">
      <c r="A81" s="50"/>
      <c r="B81" s="53"/>
      <c r="C81" s="27"/>
      <c r="D81" s="28"/>
      <c r="E81" s="45"/>
      <c r="F81" s="6"/>
      <c r="G81" s="7"/>
      <c r="H81" s="53"/>
      <c r="I81" s="27"/>
      <c r="J81" s="28"/>
      <c r="K81" s="45"/>
      <c r="L81" s="6"/>
      <c r="M81" s="7">
        <f>M80-100</f>
        <v>26.85333333</v>
      </c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45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45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45"/>
      <c r="L84" s="6"/>
      <c r="M84" s="7"/>
      <c r="O84" s="7"/>
      <c r="Q84" s="7"/>
      <c r="S84" s="7"/>
      <c r="U84" s="7"/>
      <c r="W84" s="7"/>
    </row>
    <row r="85">
      <c r="A85" s="2"/>
      <c r="B85" s="35" t="s">
        <v>17</v>
      </c>
      <c r="C85" s="27"/>
      <c r="D85" s="28"/>
      <c r="E85" s="45"/>
      <c r="F85" s="6">
        <f>SUM(F78:F84)</f>
        <v>3</v>
      </c>
      <c r="G85" s="7"/>
      <c r="H85" s="35" t="s">
        <v>17</v>
      </c>
      <c r="I85" s="27"/>
      <c r="J85" s="28"/>
      <c r="K85" s="45"/>
      <c r="L85" s="6">
        <f>SUM(L78:L84)</f>
        <v>227.87</v>
      </c>
      <c r="M85" s="7"/>
      <c r="O85" s="7"/>
      <c r="Q85" s="7"/>
      <c r="S85" s="7"/>
      <c r="U85" s="7"/>
      <c r="W85" s="7"/>
    </row>
    <row r="86">
      <c r="F86" s="7"/>
      <c r="G86" s="7"/>
      <c r="I86" s="7"/>
      <c r="K86" s="7"/>
      <c r="L86" s="7"/>
      <c r="M86" s="7"/>
      <c r="O86" s="7"/>
      <c r="Q86" s="7"/>
      <c r="S86" s="7"/>
      <c r="U86" s="7"/>
      <c r="W86" s="7"/>
    </row>
    <row r="87">
      <c r="A87" s="25"/>
      <c r="B87" s="26" t="s">
        <v>22</v>
      </c>
      <c r="C87" s="27"/>
      <c r="D87" s="27"/>
      <c r="E87" s="27"/>
      <c r="F87" s="28"/>
      <c r="G87" s="7"/>
      <c r="H87" s="26" t="s">
        <v>248</v>
      </c>
      <c r="I87" s="27"/>
      <c r="J87" s="27"/>
      <c r="K87" s="27"/>
      <c r="L87" s="28"/>
      <c r="M87" s="7"/>
      <c r="O87" s="7"/>
      <c r="Q87" s="7"/>
      <c r="S87" s="7"/>
      <c r="U87" s="7"/>
      <c r="W87" s="7"/>
    </row>
    <row r="88">
      <c r="A88" s="25"/>
      <c r="B88" s="26" t="s">
        <v>33</v>
      </c>
      <c r="C88" s="27"/>
      <c r="D88" s="28"/>
      <c r="E88" s="30" t="s">
        <v>34</v>
      </c>
      <c r="F88" s="31" t="s">
        <v>35</v>
      </c>
      <c r="G88" s="7"/>
      <c r="H88" s="26" t="s">
        <v>33</v>
      </c>
      <c r="I88" s="27"/>
      <c r="J88" s="28"/>
      <c r="K88" s="30" t="s">
        <v>34</v>
      </c>
      <c r="L88" s="31" t="s">
        <v>35</v>
      </c>
      <c r="M88" s="7"/>
      <c r="O88" s="7"/>
      <c r="Q88" s="7"/>
      <c r="S88" s="7"/>
      <c r="U88" s="7"/>
      <c r="W88" s="7"/>
    </row>
    <row r="89">
      <c r="A89" s="2"/>
      <c r="B89" s="35"/>
      <c r="C89" s="27"/>
      <c r="D89" s="28"/>
      <c r="E89" s="36"/>
      <c r="F89" s="3"/>
      <c r="G89" s="7"/>
      <c r="H89" s="35"/>
      <c r="I89" s="27"/>
      <c r="J89" s="28"/>
      <c r="K89" s="36"/>
      <c r="L89" s="3"/>
      <c r="M89" s="7"/>
      <c r="O89" s="7"/>
      <c r="Q89" s="7"/>
      <c r="S89" s="7"/>
      <c r="U89" s="7"/>
      <c r="W89" s="7"/>
    </row>
    <row r="90">
      <c r="A90" s="50"/>
      <c r="B90" s="53"/>
      <c r="C90" s="27"/>
      <c r="D90" s="28"/>
      <c r="E90" s="45"/>
      <c r="F90" s="6"/>
      <c r="G90" s="7"/>
      <c r="H90" s="35"/>
      <c r="I90" s="27"/>
      <c r="J90" s="28"/>
      <c r="K90" s="36"/>
      <c r="L90" s="3"/>
      <c r="M90" s="7"/>
      <c r="O90" s="7"/>
      <c r="Q90" s="7"/>
      <c r="S90" s="7"/>
      <c r="U90" s="7"/>
      <c r="W90" s="7"/>
    </row>
    <row r="91">
      <c r="A91" s="50"/>
      <c r="B91" s="53"/>
      <c r="C91" s="27"/>
      <c r="D91" s="28"/>
      <c r="E91" s="45"/>
      <c r="F91" s="6"/>
      <c r="G91" s="7"/>
      <c r="H91" s="35"/>
      <c r="I91" s="27"/>
      <c r="J91" s="28"/>
      <c r="K91" s="36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45"/>
      <c r="F92" s="6"/>
      <c r="G92" s="7"/>
      <c r="H92" s="35"/>
      <c r="I92" s="27"/>
      <c r="J92" s="28"/>
      <c r="K92" s="36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45"/>
      <c r="F93" s="6"/>
      <c r="G93" s="7"/>
      <c r="H93" s="35"/>
      <c r="I93" s="27"/>
      <c r="J93" s="28"/>
      <c r="K93" s="36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45"/>
      <c r="F94" s="6"/>
      <c r="G94" s="7"/>
      <c r="H94" s="35"/>
      <c r="I94" s="27"/>
      <c r="J94" s="28"/>
      <c r="K94" s="36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45"/>
      <c r="F95" s="6"/>
      <c r="G95" s="7"/>
      <c r="H95" s="35"/>
      <c r="I95" s="27"/>
      <c r="J95" s="28"/>
      <c r="K95" s="36"/>
      <c r="L95" s="6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45"/>
      <c r="F96" s="6"/>
      <c r="G96" s="7"/>
      <c r="H96" s="35"/>
      <c r="I96" s="27"/>
      <c r="J96" s="28"/>
      <c r="K96" s="36"/>
      <c r="L96" s="3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45"/>
      <c r="F97" s="6"/>
      <c r="G97" s="7"/>
      <c r="H97" s="35"/>
      <c r="I97" s="27"/>
      <c r="J97" s="28"/>
      <c r="K97" s="36"/>
      <c r="L97" s="3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45"/>
      <c r="F98" s="6"/>
      <c r="G98" s="7"/>
      <c r="H98" s="35"/>
      <c r="I98" s="27"/>
      <c r="J98" s="28"/>
      <c r="K98" s="36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45"/>
      <c r="F99" s="6"/>
      <c r="G99" s="7"/>
      <c r="H99" s="35"/>
      <c r="I99" s="27"/>
      <c r="J99" s="28"/>
      <c r="K99" s="36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45"/>
      <c r="F100" s="6"/>
      <c r="G100" s="7"/>
      <c r="H100" s="35"/>
      <c r="I100" s="27"/>
      <c r="J100" s="28"/>
      <c r="K100" s="36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45"/>
      <c r="F101" s="6"/>
      <c r="G101" s="7"/>
      <c r="H101" s="35"/>
      <c r="I101" s="27"/>
      <c r="J101" s="28"/>
      <c r="K101" s="36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45"/>
      <c r="F102" s="6"/>
      <c r="G102" s="7"/>
      <c r="H102" s="35"/>
      <c r="I102" s="27"/>
      <c r="J102" s="28"/>
      <c r="K102" s="36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45"/>
      <c r="F103" s="6"/>
      <c r="G103" s="7"/>
      <c r="H103" s="35"/>
      <c r="I103" s="27"/>
      <c r="J103" s="28"/>
      <c r="K103" s="36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45"/>
      <c r="F104" s="6"/>
      <c r="G104" s="7"/>
      <c r="H104" s="35"/>
      <c r="I104" s="27"/>
      <c r="J104" s="28"/>
      <c r="K104" s="36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45"/>
      <c r="F105" s="6"/>
      <c r="G105" s="7"/>
      <c r="H105" s="35"/>
      <c r="I105" s="27"/>
      <c r="J105" s="28"/>
      <c r="K105" s="36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45"/>
      <c r="F106" s="6"/>
      <c r="G106" s="7"/>
      <c r="H106" s="35"/>
      <c r="I106" s="27"/>
      <c r="J106" s="28"/>
      <c r="K106" s="36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45"/>
      <c r="F107" s="6"/>
      <c r="G107" s="7"/>
      <c r="H107" s="35"/>
      <c r="I107" s="27"/>
      <c r="J107" s="28"/>
      <c r="K107" s="36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45"/>
      <c r="F108" s="6"/>
      <c r="G108" s="7"/>
      <c r="H108" s="35"/>
      <c r="I108" s="27"/>
      <c r="J108" s="28"/>
      <c r="K108" s="36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45"/>
      <c r="F109" s="6"/>
      <c r="G109" s="7"/>
      <c r="H109" s="35"/>
      <c r="I109" s="27"/>
      <c r="J109" s="28"/>
      <c r="K109" s="36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45"/>
      <c r="F110" s="6"/>
      <c r="G110" s="7"/>
      <c r="H110" s="35"/>
      <c r="I110" s="27"/>
      <c r="J110" s="28"/>
      <c r="K110" s="36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45"/>
      <c r="F111" s="6"/>
      <c r="G111" s="7"/>
      <c r="H111" s="35"/>
      <c r="I111" s="27"/>
      <c r="J111" s="28"/>
      <c r="K111" s="36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45"/>
      <c r="F112" s="6"/>
      <c r="G112" s="7"/>
      <c r="H112" s="35"/>
      <c r="I112" s="27"/>
      <c r="J112" s="28"/>
      <c r="K112" s="36"/>
      <c r="L112" s="3"/>
      <c r="M112" s="7"/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45"/>
      <c r="F113" s="6"/>
      <c r="G113" s="7"/>
      <c r="H113" s="35"/>
      <c r="I113" s="27"/>
      <c r="J113" s="28"/>
      <c r="K113" s="36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45"/>
      <c r="F114" s="6"/>
      <c r="G114" s="7"/>
      <c r="H114" s="35"/>
      <c r="I114" s="27"/>
      <c r="J114" s="28"/>
      <c r="K114" s="36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45"/>
      <c r="F115" s="6"/>
      <c r="G115" s="7"/>
      <c r="H115" s="35"/>
      <c r="I115" s="27"/>
      <c r="J115" s="28"/>
      <c r="K115" s="36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45"/>
      <c r="F116" s="6"/>
      <c r="G116" s="7"/>
      <c r="H116" s="35"/>
      <c r="I116" s="27"/>
      <c r="J116" s="28"/>
      <c r="K116" s="36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45"/>
      <c r="F117" s="6"/>
      <c r="G117" s="7"/>
      <c r="H117" s="35"/>
      <c r="I117" s="27"/>
      <c r="J117" s="28"/>
      <c r="K117" s="36"/>
      <c r="L117" s="3"/>
      <c r="M117" s="7"/>
      <c r="O117" s="7"/>
      <c r="Q117" s="7"/>
      <c r="S117" s="7"/>
      <c r="U117" s="7"/>
      <c r="W117" s="7"/>
    </row>
    <row r="118">
      <c r="A118" s="2"/>
      <c r="B118" s="35" t="s">
        <v>17</v>
      </c>
      <c r="C118" s="27"/>
      <c r="D118" s="28"/>
      <c r="E118" s="45"/>
      <c r="F118" s="6">
        <f>SUM(F89:F95)</f>
        <v>0</v>
      </c>
      <c r="G118" s="7"/>
      <c r="H118" s="35" t="s">
        <v>17</v>
      </c>
      <c r="I118" s="27"/>
      <c r="J118" s="28"/>
      <c r="K118" s="45"/>
      <c r="L118" s="6">
        <f>SUM(L89:L117)</f>
        <v>0</v>
      </c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B120" s="26" t="s">
        <v>28</v>
      </c>
      <c r="C120" s="27"/>
      <c r="D120" s="27"/>
      <c r="E120" s="27"/>
      <c r="F120" s="28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B121" s="26" t="s">
        <v>33</v>
      </c>
      <c r="C121" s="27"/>
      <c r="D121" s="28"/>
      <c r="E121" s="30" t="s">
        <v>34</v>
      </c>
      <c r="F121" s="31" t="s">
        <v>35</v>
      </c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B122" s="35" t="s">
        <v>86</v>
      </c>
      <c r="C122" s="27"/>
      <c r="D122" s="28"/>
      <c r="E122" s="36">
        <v>43648.0</v>
      </c>
      <c r="F122" s="3">
        <v>10.0</v>
      </c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B123" s="35" t="s">
        <v>86</v>
      </c>
      <c r="C123" s="27"/>
      <c r="D123" s="28"/>
      <c r="E123" s="36">
        <v>43665.0</v>
      </c>
      <c r="F123" s="3">
        <v>10.0</v>
      </c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B124" s="35" t="s">
        <v>86</v>
      </c>
      <c r="C124" s="27"/>
      <c r="D124" s="28"/>
      <c r="E124" s="36">
        <v>43676.0</v>
      </c>
      <c r="F124" s="3">
        <v>20.0</v>
      </c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B125" s="53"/>
      <c r="C125" s="27"/>
      <c r="D125" s="28"/>
      <c r="E125" s="45"/>
      <c r="F125" s="6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B126" s="53"/>
      <c r="C126" s="27"/>
      <c r="D126" s="28"/>
      <c r="E126" s="45"/>
      <c r="F126" s="6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B127" s="53"/>
      <c r="C127" s="27"/>
      <c r="D127" s="28"/>
      <c r="E127" s="45"/>
      <c r="F127" s="6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B128" s="53"/>
      <c r="C128" s="27"/>
      <c r="D128" s="28"/>
      <c r="E128" s="45"/>
      <c r="F128" s="6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B129" s="35" t="s">
        <v>17</v>
      </c>
      <c r="C129" s="27"/>
      <c r="D129" s="28"/>
      <c r="E129" s="45"/>
      <c r="F129" s="6">
        <f>SUM(F122:F128)</f>
        <v>40</v>
      </c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7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7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7"/>
      <c r="L1061" s="7"/>
      <c r="M1061" s="7"/>
      <c r="O1061" s="7"/>
      <c r="Q1061" s="7"/>
      <c r="S1061" s="7"/>
      <c r="U1061" s="7"/>
      <c r="W1061" s="7"/>
    </row>
  </sheetData>
  <mergeCells count="234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36:J36"/>
    <mergeCell ref="B38:F38"/>
    <mergeCell ref="H38:L38"/>
    <mergeCell ref="B73:D73"/>
    <mergeCell ref="B74:D74"/>
    <mergeCell ref="B76:F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7:F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25:D125"/>
    <mergeCell ref="B126:D126"/>
    <mergeCell ref="B127:D127"/>
    <mergeCell ref="B128:D128"/>
    <mergeCell ref="B129:D129"/>
    <mergeCell ref="B117:D117"/>
    <mergeCell ref="B118:D118"/>
    <mergeCell ref="B120:F120"/>
    <mergeCell ref="B121:D121"/>
    <mergeCell ref="B122:D122"/>
    <mergeCell ref="B123:D123"/>
    <mergeCell ref="B124:D124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5:F65"/>
    <mergeCell ref="B66:D66"/>
    <mergeCell ref="B67:D67"/>
    <mergeCell ref="B68:D68"/>
    <mergeCell ref="B69:D69"/>
    <mergeCell ref="B70:D70"/>
    <mergeCell ref="B71:D71"/>
    <mergeCell ref="B72:D72"/>
    <mergeCell ref="H76:L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7:L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12:J112"/>
    <mergeCell ref="H113:J113"/>
    <mergeCell ref="H114:J114"/>
    <mergeCell ref="H115:J115"/>
    <mergeCell ref="H116:J116"/>
    <mergeCell ref="H117:J117"/>
    <mergeCell ref="H118:J118"/>
    <mergeCell ref="H105:J105"/>
    <mergeCell ref="H106:J106"/>
    <mergeCell ref="H107:J107"/>
    <mergeCell ref="H108:J108"/>
    <mergeCell ref="H109:J109"/>
    <mergeCell ref="H110:J110"/>
    <mergeCell ref="H111:J11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5:L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324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4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 t="s">
        <v>325</v>
      </c>
      <c r="C6" s="27"/>
      <c r="D6" s="28"/>
      <c r="E6" s="38">
        <v>43692.0</v>
      </c>
      <c r="F6" s="31">
        <f>(43/2)+(18.45/2)</f>
        <v>30.725</v>
      </c>
      <c r="G6" s="32"/>
      <c r="H6" s="35" t="s">
        <v>39</v>
      </c>
      <c r="I6" s="27"/>
      <c r="J6" s="28"/>
      <c r="K6" s="59">
        <v>43678.0</v>
      </c>
      <c r="L6" s="3">
        <v>1.0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36"/>
      <c r="F7" s="31"/>
      <c r="G7" s="37"/>
      <c r="H7" s="35" t="s">
        <v>39</v>
      </c>
      <c r="I7" s="27"/>
      <c r="J7" s="28"/>
      <c r="K7" s="59">
        <v>43679.0</v>
      </c>
      <c r="L7" s="3">
        <v>1.0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39</v>
      </c>
      <c r="I8" s="27"/>
      <c r="J8" s="28"/>
      <c r="K8" s="59">
        <v>43681.0</v>
      </c>
      <c r="L8" s="3">
        <v>3.5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108</v>
      </c>
      <c r="I9" s="27"/>
      <c r="J9" s="28"/>
      <c r="K9" s="59">
        <v>43681.0</v>
      </c>
      <c r="L9" s="3">
        <v>10.4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39</v>
      </c>
      <c r="I10" s="27"/>
      <c r="J10" s="28"/>
      <c r="K10" s="59">
        <v>43682.0</v>
      </c>
      <c r="L10" s="3">
        <v>3.5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39</v>
      </c>
      <c r="I11" s="27"/>
      <c r="J11" s="28"/>
      <c r="K11" s="59">
        <v>43683.0</v>
      </c>
      <c r="L11" s="3">
        <v>1.5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59">
        <v>43684.0</v>
      </c>
      <c r="L12" s="3">
        <v>2.0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39</v>
      </c>
      <c r="I13" s="27"/>
      <c r="J13" s="28"/>
      <c r="K13" s="59">
        <v>43685.0</v>
      </c>
      <c r="L13" s="3">
        <v>2.0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39</v>
      </c>
      <c r="I14" s="27"/>
      <c r="J14" s="28"/>
      <c r="K14" s="59">
        <v>43686.0</v>
      </c>
      <c r="L14" s="3">
        <v>3.0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39</v>
      </c>
      <c r="I15" s="27"/>
      <c r="J15" s="28"/>
      <c r="K15" s="59">
        <v>43690.0</v>
      </c>
      <c r="L15" s="3">
        <v>1.0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326</v>
      </c>
      <c r="I16" s="27"/>
      <c r="J16" s="28"/>
      <c r="K16" s="59">
        <v>43689.0</v>
      </c>
      <c r="L16" s="3">
        <v>1.0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39</v>
      </c>
      <c r="I17" s="27"/>
      <c r="J17" s="28"/>
      <c r="K17" s="59">
        <v>43691.0</v>
      </c>
      <c r="L17" s="3">
        <v>1.5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59">
        <v>43692.0</v>
      </c>
      <c r="L18" s="3">
        <v>2.0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39</v>
      </c>
      <c r="I19" s="27"/>
      <c r="J19" s="28"/>
      <c r="K19" s="59">
        <v>43693.0</v>
      </c>
      <c r="L19" s="3">
        <v>1.5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 t="s">
        <v>177</v>
      </c>
      <c r="I20" s="27"/>
      <c r="J20" s="28"/>
      <c r="K20" s="59">
        <v>43694.0</v>
      </c>
      <c r="L20" s="3">
        <v>3.0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 t="s">
        <v>177</v>
      </c>
      <c r="I21" s="27"/>
      <c r="J21" s="28"/>
      <c r="K21" s="59">
        <v>43693.0</v>
      </c>
      <c r="L21" s="3">
        <v>3.0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 t="s">
        <v>327</v>
      </c>
      <c r="I22" s="27"/>
      <c r="J22" s="28"/>
      <c r="K22" s="59">
        <v>43695.0</v>
      </c>
      <c r="L22" s="3">
        <f>(13.4/2)+2.6</f>
        <v>9.3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 t="s">
        <v>39</v>
      </c>
      <c r="I23" s="27"/>
      <c r="J23" s="28"/>
      <c r="K23" s="59">
        <v>43696.0</v>
      </c>
      <c r="L23" s="3">
        <v>1.5</v>
      </c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8"/>
      <c r="F24" s="40"/>
      <c r="G24" s="37"/>
      <c r="H24" s="43" t="s">
        <v>39</v>
      </c>
      <c r="I24" s="27"/>
      <c r="J24" s="28"/>
      <c r="K24" s="59">
        <v>43697.0</v>
      </c>
      <c r="L24" s="3">
        <v>1.5</v>
      </c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8"/>
      <c r="F25" s="40"/>
      <c r="G25" s="37"/>
      <c r="H25" s="43" t="s">
        <v>39</v>
      </c>
      <c r="I25" s="27"/>
      <c r="J25" s="28"/>
      <c r="K25" s="59">
        <v>43698.0</v>
      </c>
      <c r="L25" s="3">
        <v>1.5</v>
      </c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8"/>
      <c r="F26" s="40"/>
      <c r="G26" s="37"/>
      <c r="H26" s="43" t="s">
        <v>39</v>
      </c>
      <c r="I26" s="27"/>
      <c r="J26" s="28"/>
      <c r="K26" s="59">
        <v>43700.0</v>
      </c>
      <c r="L26" s="3">
        <v>1.5</v>
      </c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8"/>
      <c r="F27" s="40"/>
      <c r="G27" s="37"/>
      <c r="H27" s="43" t="s">
        <v>39</v>
      </c>
      <c r="I27" s="27"/>
      <c r="J27" s="28"/>
      <c r="K27" s="59">
        <v>43701.0</v>
      </c>
      <c r="L27" s="3">
        <v>1.5</v>
      </c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8"/>
      <c r="F28" s="40"/>
      <c r="G28" s="37"/>
      <c r="H28" s="43" t="s">
        <v>328</v>
      </c>
      <c r="I28" s="27"/>
      <c r="J28" s="28"/>
      <c r="K28" s="59">
        <v>43702.0</v>
      </c>
      <c r="L28" s="3">
        <v>15.05</v>
      </c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8"/>
      <c r="F29" s="40"/>
      <c r="G29" s="37"/>
      <c r="H29" s="43" t="s">
        <v>39</v>
      </c>
      <c r="I29" s="27"/>
      <c r="J29" s="28"/>
      <c r="K29" s="59">
        <v>43702.0</v>
      </c>
      <c r="L29" s="3">
        <v>1.5</v>
      </c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8"/>
      <c r="F30" s="40"/>
      <c r="G30" s="37"/>
      <c r="H30" s="43" t="s">
        <v>39</v>
      </c>
      <c r="I30" s="27"/>
      <c r="J30" s="28"/>
      <c r="K30" s="59">
        <v>43704.0</v>
      </c>
      <c r="L30" s="3">
        <v>1.5</v>
      </c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8"/>
      <c r="F31" s="40"/>
      <c r="G31" s="37"/>
      <c r="H31" s="43" t="s">
        <v>39</v>
      </c>
      <c r="I31" s="27"/>
      <c r="J31" s="28"/>
      <c r="K31" s="59">
        <v>43706.0</v>
      </c>
      <c r="L31" s="3">
        <v>1.5</v>
      </c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8"/>
      <c r="F32" s="40"/>
      <c r="G32" s="37"/>
      <c r="H32" s="43" t="s">
        <v>326</v>
      </c>
      <c r="I32" s="27"/>
      <c r="J32" s="28"/>
      <c r="K32" s="59">
        <v>43707.0</v>
      </c>
      <c r="L32" s="3">
        <v>2.0</v>
      </c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8"/>
      <c r="F33" s="40"/>
      <c r="G33" s="37"/>
      <c r="H33" s="43"/>
      <c r="I33" s="27"/>
      <c r="J33" s="28"/>
      <c r="K33" s="59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8"/>
      <c r="F34" s="40"/>
      <c r="G34" s="37"/>
      <c r="H34" s="43"/>
      <c r="I34" s="27"/>
      <c r="J34" s="28"/>
      <c r="K34" s="59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8"/>
      <c r="F35" s="40"/>
      <c r="G35" s="37"/>
      <c r="H35" s="43"/>
      <c r="I35" s="27"/>
      <c r="J35" s="28"/>
      <c r="K35" s="59"/>
      <c r="L35" s="3"/>
      <c r="M35" s="7"/>
      <c r="N35" s="41"/>
      <c r="O35" s="42"/>
      <c r="Q35" s="7"/>
      <c r="S35" s="7"/>
      <c r="U35" s="7"/>
      <c r="W35" s="7"/>
    </row>
    <row r="36">
      <c r="A36" s="33"/>
      <c r="B36" s="39"/>
      <c r="C36" s="27"/>
      <c r="D36" s="28"/>
      <c r="E36" s="38"/>
      <c r="F36" s="40"/>
      <c r="G36" s="37"/>
      <c r="H36" s="43"/>
      <c r="I36" s="27"/>
      <c r="J36" s="28"/>
      <c r="K36" s="59"/>
      <c r="L36" s="3"/>
      <c r="M36" s="7"/>
      <c r="N36" s="41"/>
      <c r="O36" s="42"/>
      <c r="Q36" s="7"/>
      <c r="S36" s="7"/>
      <c r="U36" s="7"/>
      <c r="W36" s="7"/>
    </row>
    <row r="37">
      <c r="A37" s="2"/>
      <c r="B37" s="35" t="s">
        <v>17</v>
      </c>
      <c r="C37" s="27"/>
      <c r="D37" s="28"/>
      <c r="E37" s="45"/>
      <c r="F37" s="6">
        <f>SUM(F6:F12)</f>
        <v>30.725</v>
      </c>
      <c r="G37" s="7"/>
      <c r="H37" s="35" t="s">
        <v>17</v>
      </c>
      <c r="I37" s="27"/>
      <c r="J37" s="28"/>
      <c r="K37" s="60"/>
      <c r="L37" s="6">
        <f>SUM(L6:L36)</f>
        <v>79.25</v>
      </c>
      <c r="M37" s="7"/>
      <c r="N37" s="41"/>
      <c r="O37" s="20"/>
      <c r="Q37" s="7"/>
      <c r="S37" s="7"/>
      <c r="U37" s="7"/>
      <c r="W37" s="7"/>
    </row>
    <row r="38" ht="9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61"/>
      <c r="L38" s="25"/>
      <c r="M38" s="7"/>
      <c r="N38" s="46"/>
      <c r="O38" s="47"/>
      <c r="Q38" s="7"/>
      <c r="S38" s="7"/>
      <c r="U38" s="7"/>
      <c r="W38" s="7"/>
    </row>
    <row r="39">
      <c r="A39" s="25"/>
      <c r="B39" s="26" t="s">
        <v>26</v>
      </c>
      <c r="C39" s="27"/>
      <c r="D39" s="27"/>
      <c r="E39" s="27"/>
      <c r="F39" s="28"/>
      <c r="G39" s="25"/>
      <c r="H39" s="26" t="s">
        <v>25</v>
      </c>
      <c r="I39" s="27"/>
      <c r="J39" s="27"/>
      <c r="K39" s="27"/>
      <c r="L39" s="28"/>
      <c r="M39" s="7"/>
      <c r="N39" s="46"/>
      <c r="O39" s="47"/>
      <c r="Q39" s="7"/>
      <c r="S39" s="7"/>
      <c r="U39" s="7"/>
      <c r="W39" s="7"/>
    </row>
    <row r="40">
      <c r="A40" s="25"/>
      <c r="B40" s="26" t="s">
        <v>33</v>
      </c>
      <c r="C40" s="27"/>
      <c r="D40" s="28"/>
      <c r="E40" s="30" t="s">
        <v>34</v>
      </c>
      <c r="F40" s="31" t="s">
        <v>35</v>
      </c>
      <c r="G40" s="32"/>
      <c r="H40" s="26" t="s">
        <v>33</v>
      </c>
      <c r="I40" s="27"/>
      <c r="J40" s="28"/>
      <c r="K40" s="34" t="s">
        <v>34</v>
      </c>
      <c r="L40" s="31" t="s">
        <v>35</v>
      </c>
      <c r="M40" s="7"/>
      <c r="O40" s="7"/>
      <c r="Q40" s="7"/>
      <c r="S40" s="7"/>
      <c r="U40" s="7"/>
      <c r="W40" s="7"/>
    </row>
    <row r="41">
      <c r="A41" s="2"/>
      <c r="B41" s="35" t="s">
        <v>329</v>
      </c>
      <c r="C41" s="27"/>
      <c r="D41" s="28"/>
      <c r="E41" s="36">
        <v>43680.0</v>
      </c>
      <c r="F41" s="3">
        <v>51.03</v>
      </c>
      <c r="G41" s="5"/>
      <c r="H41" s="35" t="s">
        <v>330</v>
      </c>
      <c r="I41" s="27"/>
      <c r="J41" s="28"/>
      <c r="K41" s="58">
        <v>43678.0</v>
      </c>
      <c r="L41" s="3">
        <v>6.68</v>
      </c>
      <c r="M41" s="7"/>
      <c r="O41" s="7"/>
      <c r="Q41" s="7"/>
      <c r="S41" s="7"/>
      <c r="U41" s="7"/>
      <c r="W41" s="7"/>
    </row>
    <row r="42">
      <c r="A42" s="50"/>
      <c r="B42" s="35" t="s">
        <v>331</v>
      </c>
      <c r="C42" s="27"/>
      <c r="D42" s="28"/>
      <c r="E42" s="36">
        <v>43682.0</v>
      </c>
      <c r="F42" s="3">
        <v>1.0</v>
      </c>
      <c r="G42" s="7"/>
      <c r="H42" s="35" t="s">
        <v>332</v>
      </c>
      <c r="I42" s="27"/>
      <c r="J42" s="28"/>
      <c r="K42" s="58">
        <v>43678.0</v>
      </c>
      <c r="L42" s="49">
        <v>3.84</v>
      </c>
      <c r="M42" s="7"/>
      <c r="O42" s="7"/>
      <c r="Q42" s="7"/>
      <c r="S42" s="7"/>
      <c r="U42" s="7"/>
      <c r="W42" s="7"/>
    </row>
    <row r="43">
      <c r="A43" s="50"/>
      <c r="B43" s="35" t="s">
        <v>333</v>
      </c>
      <c r="C43" s="27"/>
      <c r="D43" s="28"/>
      <c r="E43" s="36">
        <v>43686.0</v>
      </c>
      <c r="F43" s="3">
        <v>40.0</v>
      </c>
      <c r="G43" s="7"/>
      <c r="H43" s="35" t="s">
        <v>323</v>
      </c>
      <c r="I43" s="27"/>
      <c r="J43" s="28"/>
      <c r="K43" s="59">
        <v>43678.0</v>
      </c>
      <c r="L43" s="49">
        <v>4.0</v>
      </c>
      <c r="M43" s="7"/>
      <c r="O43" s="7"/>
      <c r="Q43" s="7"/>
      <c r="S43" s="7"/>
      <c r="U43" s="7"/>
      <c r="W43" s="7"/>
    </row>
    <row r="44">
      <c r="A44" s="50"/>
      <c r="B44" s="35" t="s">
        <v>334</v>
      </c>
      <c r="C44" s="27"/>
      <c r="D44" s="28"/>
      <c r="E44" s="36">
        <v>43688.0</v>
      </c>
      <c r="F44" s="3">
        <v>40.0</v>
      </c>
      <c r="G44" s="7"/>
      <c r="H44" s="35" t="s">
        <v>335</v>
      </c>
      <c r="I44" s="27"/>
      <c r="J44" s="28"/>
      <c r="K44" s="59">
        <v>43682.0</v>
      </c>
      <c r="L44" s="49">
        <v>2.5</v>
      </c>
      <c r="M44" s="7"/>
      <c r="O44" s="7"/>
      <c r="Q44" s="7"/>
      <c r="S44" s="7"/>
      <c r="U44" s="7"/>
      <c r="W44" s="7"/>
    </row>
    <row r="45">
      <c r="A45" s="50"/>
      <c r="B45" s="35" t="s">
        <v>336</v>
      </c>
      <c r="C45" s="27"/>
      <c r="D45" s="28"/>
      <c r="E45" s="36"/>
      <c r="F45" s="3">
        <v>25.0</v>
      </c>
      <c r="G45" s="7"/>
      <c r="H45" s="35" t="s">
        <v>175</v>
      </c>
      <c r="I45" s="27"/>
      <c r="J45" s="28"/>
      <c r="K45" s="59">
        <v>43683.0</v>
      </c>
      <c r="L45" s="49">
        <v>9.9</v>
      </c>
      <c r="M45" s="7"/>
      <c r="O45" s="7"/>
      <c r="Q45" s="7"/>
      <c r="S45" s="7"/>
      <c r="U45" s="7"/>
      <c r="W45" s="7"/>
    </row>
    <row r="46">
      <c r="A46" s="50"/>
      <c r="B46" s="35" t="s">
        <v>81</v>
      </c>
      <c r="C46" s="27"/>
      <c r="D46" s="28"/>
      <c r="E46" s="36">
        <v>43693.0</v>
      </c>
      <c r="F46" s="3">
        <v>4.0</v>
      </c>
      <c r="G46" s="7"/>
      <c r="H46" s="35" t="s">
        <v>337</v>
      </c>
      <c r="I46" s="27"/>
      <c r="J46" s="28"/>
      <c r="K46" s="59">
        <v>43684.0</v>
      </c>
      <c r="L46" s="49">
        <v>9.0</v>
      </c>
      <c r="M46" s="7"/>
      <c r="O46" s="7"/>
      <c r="P46" s="2"/>
      <c r="Q46" s="7"/>
      <c r="S46" s="7"/>
      <c r="U46" s="7"/>
      <c r="W46" s="7"/>
    </row>
    <row r="47">
      <c r="A47" s="50"/>
      <c r="B47" s="35" t="s">
        <v>338</v>
      </c>
      <c r="C47" s="27"/>
      <c r="D47" s="28"/>
      <c r="E47" s="36">
        <v>43694.0</v>
      </c>
      <c r="F47" s="3">
        <v>12.0</v>
      </c>
      <c r="G47" s="7"/>
      <c r="H47" s="35" t="s">
        <v>323</v>
      </c>
      <c r="I47" s="27"/>
      <c r="J47" s="28"/>
      <c r="K47" s="59">
        <v>43686.0</v>
      </c>
      <c r="L47" s="49">
        <v>4.0</v>
      </c>
      <c r="M47" s="7"/>
      <c r="O47" s="7"/>
      <c r="Q47" s="7"/>
      <c r="S47" s="7"/>
      <c r="U47" s="7"/>
      <c r="W47" s="7"/>
    </row>
    <row r="48">
      <c r="A48" s="50"/>
      <c r="B48" s="35" t="s">
        <v>114</v>
      </c>
      <c r="C48" s="27"/>
      <c r="D48" s="28"/>
      <c r="E48" s="36">
        <v>43694.0</v>
      </c>
      <c r="F48" s="3">
        <v>13.0</v>
      </c>
      <c r="G48" s="7"/>
      <c r="H48" s="35" t="s">
        <v>58</v>
      </c>
      <c r="I48" s="27"/>
      <c r="J48" s="28"/>
      <c r="K48" s="59">
        <v>43690.0</v>
      </c>
      <c r="L48" s="49">
        <v>3.5</v>
      </c>
      <c r="M48" s="7"/>
      <c r="O48" s="7"/>
      <c r="Q48" s="7"/>
      <c r="S48" s="7"/>
      <c r="U48" s="7"/>
      <c r="W48" s="7"/>
    </row>
    <row r="49">
      <c r="A49" s="50"/>
      <c r="B49" s="35" t="s">
        <v>77</v>
      </c>
      <c r="C49" s="27"/>
      <c r="D49" s="28"/>
      <c r="E49" s="36">
        <v>43697.0</v>
      </c>
      <c r="F49" s="3">
        <f>70-32</f>
        <v>38</v>
      </c>
      <c r="G49" s="7"/>
      <c r="H49" s="35" t="s">
        <v>58</v>
      </c>
      <c r="I49" s="27"/>
      <c r="J49" s="28"/>
      <c r="K49" s="59" t="s">
        <v>339</v>
      </c>
      <c r="L49" s="49">
        <v>3.5</v>
      </c>
      <c r="M49" s="7"/>
      <c r="O49" s="7"/>
      <c r="Q49" s="7"/>
      <c r="S49" s="7"/>
      <c r="U49" s="7"/>
      <c r="W49" s="7"/>
    </row>
    <row r="50">
      <c r="A50" s="50"/>
      <c r="B50" s="35" t="s">
        <v>340</v>
      </c>
      <c r="C50" s="27"/>
      <c r="D50" s="28"/>
      <c r="E50" s="36">
        <v>43702.0</v>
      </c>
      <c r="F50" s="3">
        <v>5.0</v>
      </c>
      <c r="G50" s="7"/>
      <c r="H50" s="35" t="s">
        <v>323</v>
      </c>
      <c r="I50" s="27"/>
      <c r="J50" s="28"/>
      <c r="K50" s="59">
        <v>43691.0</v>
      </c>
      <c r="L50" s="49">
        <v>4.0</v>
      </c>
      <c r="M50" s="7"/>
      <c r="O50" s="7"/>
      <c r="Q50" s="7"/>
      <c r="S50" s="7"/>
      <c r="U50" s="7"/>
      <c r="W50" s="7"/>
    </row>
    <row r="51">
      <c r="A51" s="50"/>
      <c r="B51" s="35" t="s">
        <v>341</v>
      </c>
      <c r="C51" s="27"/>
      <c r="D51" s="28"/>
      <c r="E51" s="36">
        <v>43703.0</v>
      </c>
      <c r="F51" s="3">
        <f>183.62-150</f>
        <v>33.62</v>
      </c>
      <c r="G51" s="7"/>
      <c r="H51" s="35" t="s">
        <v>58</v>
      </c>
      <c r="I51" s="27"/>
      <c r="J51" s="28"/>
      <c r="K51" s="59">
        <v>43697.0</v>
      </c>
      <c r="L51" s="49">
        <v>3.5</v>
      </c>
      <c r="M51" s="7"/>
      <c r="O51" s="7"/>
      <c r="Q51" s="7"/>
      <c r="S51" s="7"/>
      <c r="U51" s="7"/>
      <c r="W51" s="7"/>
    </row>
    <row r="52">
      <c r="A52" s="50"/>
      <c r="B52" s="35" t="s">
        <v>342</v>
      </c>
      <c r="C52" s="27"/>
      <c r="D52" s="28"/>
      <c r="E52" s="36">
        <v>43705.0</v>
      </c>
      <c r="F52" s="3">
        <v>25.0</v>
      </c>
      <c r="G52" s="7"/>
      <c r="H52" s="35" t="s">
        <v>58</v>
      </c>
      <c r="I52" s="27"/>
      <c r="J52" s="28"/>
      <c r="K52" s="59">
        <v>43698.0</v>
      </c>
      <c r="L52" s="49">
        <v>3.5</v>
      </c>
      <c r="M52" s="7"/>
      <c r="O52" s="7"/>
      <c r="Q52" s="7"/>
      <c r="S52" s="7"/>
      <c r="U52" s="7"/>
      <c r="W52" s="7"/>
    </row>
    <row r="53">
      <c r="A53" s="50"/>
      <c r="B53" s="35" t="s">
        <v>343</v>
      </c>
      <c r="C53" s="27"/>
      <c r="D53" s="28"/>
      <c r="E53" s="36">
        <v>43708.0</v>
      </c>
      <c r="F53" s="3">
        <v>65.0</v>
      </c>
      <c r="G53" s="7"/>
      <c r="H53" s="35" t="s">
        <v>344</v>
      </c>
      <c r="I53" s="27"/>
      <c r="J53" s="28"/>
      <c r="K53" s="59">
        <v>43698.0</v>
      </c>
      <c r="L53" s="49">
        <v>5.99</v>
      </c>
      <c r="M53" s="7"/>
      <c r="O53" s="7"/>
      <c r="Q53" s="7"/>
      <c r="S53" s="7"/>
      <c r="U53" s="7"/>
      <c r="W53" s="7"/>
    </row>
    <row r="54">
      <c r="A54" s="50"/>
      <c r="B54" s="35"/>
      <c r="C54" s="27"/>
      <c r="D54" s="28"/>
      <c r="E54" s="36"/>
      <c r="F54" s="3"/>
      <c r="G54" s="7"/>
      <c r="H54" s="35" t="s">
        <v>345</v>
      </c>
      <c r="I54" s="27"/>
      <c r="J54" s="28"/>
      <c r="K54" s="59">
        <v>43698.0</v>
      </c>
      <c r="L54" s="49">
        <v>14.27</v>
      </c>
      <c r="M54" s="7"/>
      <c r="O54" s="7"/>
      <c r="Q54" s="7"/>
      <c r="S54" s="7"/>
      <c r="U54" s="7"/>
      <c r="W54" s="7"/>
    </row>
    <row r="55">
      <c r="A55" s="50"/>
      <c r="B55" s="35"/>
      <c r="C55" s="27"/>
      <c r="D55" s="28"/>
      <c r="E55" s="58"/>
      <c r="F55" s="3"/>
      <c r="G55" s="7"/>
      <c r="H55" s="35" t="s">
        <v>346</v>
      </c>
      <c r="I55" s="27"/>
      <c r="J55" s="28"/>
      <c r="K55" s="59">
        <v>43699.0</v>
      </c>
      <c r="L55" s="49">
        <v>3.0</v>
      </c>
      <c r="M55" s="7"/>
      <c r="O55" s="7"/>
      <c r="Q55" s="7"/>
      <c r="S55" s="7"/>
      <c r="U55" s="7"/>
      <c r="W55" s="7"/>
    </row>
    <row r="56">
      <c r="A56" s="50"/>
      <c r="B56" s="35"/>
      <c r="C56" s="27"/>
      <c r="D56" s="28"/>
      <c r="E56" s="58"/>
      <c r="F56" s="3"/>
      <c r="G56" s="7"/>
      <c r="H56" s="35" t="s">
        <v>58</v>
      </c>
      <c r="I56" s="27"/>
      <c r="J56" s="28"/>
      <c r="K56" s="59">
        <v>43700.0</v>
      </c>
      <c r="L56" s="49">
        <v>3.5</v>
      </c>
      <c r="M56" s="7"/>
      <c r="O56" s="7"/>
      <c r="Q56" s="7"/>
      <c r="S56" s="7"/>
      <c r="U56" s="7"/>
      <c r="W56" s="7"/>
    </row>
    <row r="57">
      <c r="A57" s="50"/>
      <c r="B57" s="35"/>
      <c r="C57" s="27"/>
      <c r="D57" s="28"/>
      <c r="E57" s="58"/>
      <c r="F57" s="3"/>
      <c r="G57" s="7"/>
      <c r="H57" s="35" t="s">
        <v>175</v>
      </c>
      <c r="I57" s="27"/>
      <c r="J57" s="28"/>
      <c r="K57" s="59">
        <v>43701.0</v>
      </c>
      <c r="L57" s="49">
        <v>10.6</v>
      </c>
      <c r="M57" s="7"/>
      <c r="O57" s="7"/>
      <c r="Q57" s="7"/>
      <c r="S57" s="7"/>
      <c r="U57" s="7"/>
      <c r="W57" s="7"/>
    </row>
    <row r="58">
      <c r="A58" s="50"/>
      <c r="B58" s="35"/>
      <c r="C58" s="27"/>
      <c r="D58" s="28"/>
      <c r="E58" s="58"/>
      <c r="F58" s="3"/>
      <c r="G58" s="7"/>
      <c r="H58" s="35" t="s">
        <v>161</v>
      </c>
      <c r="I58" s="27"/>
      <c r="J58" s="28"/>
      <c r="K58" s="59">
        <v>43702.0</v>
      </c>
      <c r="L58" s="49">
        <v>4.0</v>
      </c>
      <c r="M58" s="7"/>
      <c r="O58" s="7"/>
      <c r="Q58" s="7"/>
      <c r="S58" s="7"/>
      <c r="U58" s="7"/>
      <c r="W58" s="7"/>
    </row>
    <row r="59">
      <c r="A59" s="50"/>
      <c r="B59" s="35"/>
      <c r="C59" s="27"/>
      <c r="D59" s="28"/>
      <c r="E59" s="58"/>
      <c r="F59" s="3"/>
      <c r="G59" s="7"/>
      <c r="H59" s="35" t="s">
        <v>347</v>
      </c>
      <c r="I59" s="27"/>
      <c r="J59" s="28"/>
      <c r="K59" s="59">
        <v>43703.0</v>
      </c>
      <c r="L59" s="51">
        <f>9+3.5</f>
        <v>12.5</v>
      </c>
      <c r="M59" s="7"/>
      <c r="O59" s="7"/>
      <c r="Q59" s="7"/>
      <c r="S59" s="7"/>
      <c r="U59" s="7"/>
      <c r="W59" s="7"/>
    </row>
    <row r="60">
      <c r="A60" s="50"/>
      <c r="B60" s="35"/>
      <c r="C60" s="27"/>
      <c r="D60" s="28"/>
      <c r="E60" s="58"/>
      <c r="F60" s="3"/>
      <c r="G60" s="7"/>
      <c r="H60" s="35" t="s">
        <v>348</v>
      </c>
      <c r="I60" s="27"/>
      <c r="J60" s="28"/>
      <c r="K60" s="59">
        <v>43705.0</v>
      </c>
      <c r="L60" s="51">
        <f>3.5+2.99</f>
        <v>6.49</v>
      </c>
      <c r="M60" s="7"/>
      <c r="O60" s="7"/>
      <c r="Q60" s="7"/>
      <c r="S60" s="7"/>
      <c r="U60" s="7"/>
      <c r="W60" s="7"/>
    </row>
    <row r="61">
      <c r="A61" s="50"/>
      <c r="B61" s="35"/>
      <c r="C61" s="27"/>
      <c r="D61" s="28"/>
      <c r="E61" s="58"/>
      <c r="F61" s="3"/>
      <c r="G61" s="7"/>
      <c r="H61" s="35" t="s">
        <v>349</v>
      </c>
      <c r="I61" s="27"/>
      <c r="J61" s="28"/>
      <c r="K61" s="59">
        <v>43706.0</v>
      </c>
      <c r="L61" s="49">
        <v>2.7</v>
      </c>
      <c r="M61" s="7"/>
      <c r="O61" s="7"/>
      <c r="Q61" s="7"/>
      <c r="S61" s="7"/>
      <c r="U61" s="7"/>
      <c r="W61" s="7"/>
    </row>
    <row r="62">
      <c r="A62" s="50"/>
      <c r="B62" s="35"/>
      <c r="C62" s="27"/>
      <c r="D62" s="28"/>
      <c r="E62" s="58"/>
      <c r="F62" s="3"/>
      <c r="G62" s="7"/>
      <c r="H62" s="35" t="s">
        <v>58</v>
      </c>
      <c r="I62" s="27"/>
      <c r="J62" s="28"/>
      <c r="K62" s="59">
        <v>43707.0</v>
      </c>
      <c r="L62" s="49">
        <v>3.5</v>
      </c>
      <c r="M62" s="7"/>
      <c r="O62" s="7"/>
      <c r="Q62" s="7"/>
      <c r="S62" s="7"/>
      <c r="U62" s="7"/>
      <c r="W62" s="7"/>
    </row>
    <row r="63">
      <c r="A63" s="50"/>
      <c r="B63" s="35"/>
      <c r="C63" s="27"/>
      <c r="D63" s="28"/>
      <c r="E63" s="58"/>
      <c r="F63" s="3"/>
      <c r="G63" s="7"/>
      <c r="H63" s="52"/>
      <c r="I63" s="27"/>
      <c r="J63" s="28"/>
      <c r="K63" s="60"/>
      <c r="L63" s="51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7"/>
      <c r="D64" s="28"/>
      <c r="E64" s="45"/>
      <c r="F64" s="6">
        <f>SUM(F41:F63)</f>
        <v>352.65</v>
      </c>
      <c r="G64" s="7"/>
      <c r="H64" s="52"/>
      <c r="I64" s="27"/>
      <c r="J64" s="28"/>
      <c r="K64" s="60"/>
      <c r="L64" s="6">
        <f>SUM(L41:L63)</f>
        <v>124.47</v>
      </c>
      <c r="M64" s="7"/>
      <c r="O64" s="7"/>
      <c r="Q64" s="7"/>
      <c r="S64" s="7"/>
      <c r="U64" s="7"/>
      <c r="W64" s="7"/>
    </row>
    <row r="65">
      <c r="A65" s="50"/>
      <c r="B65" s="50"/>
      <c r="C65" s="7"/>
      <c r="F65" s="7"/>
      <c r="G65" s="7"/>
      <c r="I65" s="7"/>
      <c r="K65" s="62"/>
      <c r="L65" s="7"/>
      <c r="M65" s="7"/>
      <c r="O65" s="7"/>
      <c r="Q65" s="7"/>
      <c r="S65" s="7"/>
      <c r="U65" s="7"/>
      <c r="W65" s="7"/>
    </row>
    <row r="66">
      <c r="A66" s="25"/>
      <c r="B66" s="26" t="s">
        <v>24</v>
      </c>
      <c r="C66" s="27"/>
      <c r="D66" s="27"/>
      <c r="E66" s="27"/>
      <c r="F66" s="28"/>
      <c r="G66" s="7"/>
      <c r="H66" s="26" t="s">
        <v>19</v>
      </c>
      <c r="I66" s="27"/>
      <c r="J66" s="27"/>
      <c r="K66" s="27"/>
      <c r="L66" s="28"/>
      <c r="M66" s="7"/>
      <c r="O66" s="7"/>
      <c r="Q66" s="7"/>
      <c r="S66" s="7"/>
      <c r="U66" s="7"/>
      <c r="W66" s="7"/>
    </row>
    <row r="67">
      <c r="A67" s="25"/>
      <c r="B67" s="26" t="s">
        <v>33</v>
      </c>
      <c r="C67" s="27"/>
      <c r="D67" s="28"/>
      <c r="E67" s="30" t="s">
        <v>34</v>
      </c>
      <c r="F67" s="31" t="s">
        <v>35</v>
      </c>
      <c r="G67" s="7"/>
      <c r="H67" s="26" t="s">
        <v>33</v>
      </c>
      <c r="I67" s="27"/>
      <c r="J67" s="28"/>
      <c r="K67" s="34" t="s">
        <v>34</v>
      </c>
      <c r="L67" s="31" t="s">
        <v>35</v>
      </c>
      <c r="M67" s="7"/>
      <c r="O67" s="7"/>
      <c r="Q67" s="7"/>
      <c r="S67" s="7"/>
      <c r="U67" s="7"/>
      <c r="W67" s="7"/>
    </row>
    <row r="68">
      <c r="A68" s="2"/>
      <c r="B68" s="35" t="s">
        <v>82</v>
      </c>
      <c r="C68" s="27"/>
      <c r="D68" s="28"/>
      <c r="E68" s="48">
        <v>43684.0</v>
      </c>
      <c r="F68" s="49">
        <v>20.0</v>
      </c>
      <c r="G68" s="7"/>
      <c r="H68" s="35" t="s">
        <v>122</v>
      </c>
      <c r="I68" s="27"/>
      <c r="J68" s="28"/>
      <c r="K68" s="59">
        <v>43693.0</v>
      </c>
      <c r="L68" s="3">
        <v>51.0</v>
      </c>
      <c r="M68" s="7"/>
      <c r="O68" s="7"/>
      <c r="Q68" s="7"/>
      <c r="S68" s="7"/>
      <c r="U68" s="7"/>
      <c r="W68" s="7"/>
    </row>
    <row r="69">
      <c r="A69" s="50"/>
      <c r="B69" s="35"/>
      <c r="C69" s="27"/>
      <c r="D69" s="28"/>
      <c r="E69" s="36"/>
      <c r="F69" s="3"/>
      <c r="G69" s="7"/>
      <c r="H69" s="35"/>
      <c r="I69" s="27"/>
      <c r="J69" s="28"/>
      <c r="K69" s="59"/>
      <c r="L69" s="3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45"/>
      <c r="F70" s="6"/>
      <c r="G70" s="7"/>
      <c r="H70" s="35"/>
      <c r="I70" s="27"/>
      <c r="J70" s="28"/>
      <c r="K70" s="59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35"/>
      <c r="I71" s="27"/>
      <c r="J71" s="28"/>
      <c r="K71" s="59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53"/>
      <c r="I72" s="27"/>
      <c r="J72" s="28"/>
      <c r="K72" s="60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60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60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7"/>
      <c r="D75" s="28"/>
      <c r="E75" s="45"/>
      <c r="F75" s="6">
        <f>SUM(F68:F74)</f>
        <v>20</v>
      </c>
      <c r="G75" s="7"/>
      <c r="H75" s="35" t="s">
        <v>17</v>
      </c>
      <c r="I75" s="27"/>
      <c r="J75" s="28"/>
      <c r="K75" s="60"/>
      <c r="L75" s="6">
        <f>SUM(L68:L74)</f>
        <v>51</v>
      </c>
      <c r="M75" s="7"/>
      <c r="O75" s="7"/>
      <c r="Q75" s="7"/>
      <c r="S75" s="7"/>
      <c r="U75" s="7"/>
      <c r="W75" s="7"/>
    </row>
    <row r="76">
      <c r="F76" s="7"/>
      <c r="G76" s="7"/>
      <c r="I76" s="7"/>
      <c r="K76" s="62"/>
      <c r="L76" s="7"/>
      <c r="M76" s="7"/>
      <c r="O76" s="7"/>
      <c r="Q76" s="7"/>
      <c r="S76" s="7"/>
      <c r="U76" s="7"/>
      <c r="W76" s="7"/>
    </row>
    <row r="77">
      <c r="A77" s="25"/>
      <c r="B77" s="26" t="s">
        <v>21</v>
      </c>
      <c r="C77" s="27"/>
      <c r="D77" s="27"/>
      <c r="E77" s="27"/>
      <c r="F77" s="28"/>
      <c r="G77" s="7"/>
      <c r="H77" s="26" t="s">
        <v>20</v>
      </c>
      <c r="I77" s="27"/>
      <c r="J77" s="27"/>
      <c r="K77" s="27"/>
      <c r="L77" s="28"/>
      <c r="M77" s="7"/>
      <c r="O77" s="7"/>
      <c r="Q77" s="7"/>
      <c r="S77" s="7"/>
      <c r="U77" s="7"/>
      <c r="W77" s="7"/>
    </row>
    <row r="78">
      <c r="A78" s="25"/>
      <c r="B78" s="26" t="s">
        <v>33</v>
      </c>
      <c r="C78" s="27"/>
      <c r="D78" s="28"/>
      <c r="E78" s="30" t="s">
        <v>34</v>
      </c>
      <c r="F78" s="31" t="s">
        <v>35</v>
      </c>
      <c r="G78" s="7"/>
      <c r="H78" s="26" t="s">
        <v>33</v>
      </c>
      <c r="I78" s="27"/>
      <c r="J78" s="28"/>
      <c r="K78" s="34" t="s">
        <v>34</v>
      </c>
      <c r="L78" s="31" t="s">
        <v>35</v>
      </c>
      <c r="M78" s="7"/>
      <c r="O78" s="7"/>
      <c r="Q78" s="7"/>
      <c r="S78" s="7"/>
      <c r="U78" s="7"/>
      <c r="W78" s="7"/>
    </row>
    <row r="79">
      <c r="A79" s="2"/>
      <c r="B79" s="35" t="s">
        <v>208</v>
      </c>
      <c r="C79" s="27"/>
      <c r="D79" s="28"/>
      <c r="E79" s="48">
        <v>43686.0</v>
      </c>
      <c r="F79" s="3">
        <f>29.84-9.95</f>
        <v>19.89</v>
      </c>
      <c r="G79" s="7"/>
      <c r="H79" s="35" t="s">
        <v>125</v>
      </c>
      <c r="I79" s="27"/>
      <c r="J79" s="28"/>
      <c r="K79" s="59">
        <v>43686.0</v>
      </c>
      <c r="L79" s="3">
        <f>231.38-77.13</f>
        <v>154.25</v>
      </c>
      <c r="M79" s="7"/>
      <c r="O79" s="7"/>
      <c r="Q79" s="7"/>
      <c r="S79" s="7"/>
      <c r="U79" s="7"/>
      <c r="W79" s="7"/>
    </row>
    <row r="80">
      <c r="A80" s="50"/>
      <c r="B80" s="53"/>
      <c r="C80" s="27"/>
      <c r="D80" s="28"/>
      <c r="E80" s="45"/>
      <c r="F80" s="6"/>
      <c r="G80" s="7"/>
      <c r="H80" s="53"/>
      <c r="I80" s="27"/>
      <c r="J80" s="28"/>
      <c r="K80" s="60"/>
      <c r="L80" s="6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45"/>
      <c r="F81" s="6"/>
      <c r="G81" s="7"/>
      <c r="H81" s="53"/>
      <c r="I81" s="27"/>
      <c r="J81" s="28"/>
      <c r="K81" s="60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60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60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60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45"/>
      <c r="F85" s="6"/>
      <c r="G85" s="7"/>
      <c r="H85" s="53"/>
      <c r="I85" s="27"/>
      <c r="J85" s="28"/>
      <c r="K85" s="60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7"/>
      <c r="D86" s="28"/>
      <c r="E86" s="45"/>
      <c r="F86" s="6">
        <f>SUM(F79:F85)</f>
        <v>19.89</v>
      </c>
      <c r="G86" s="7"/>
      <c r="H86" s="35" t="s">
        <v>17</v>
      </c>
      <c r="I86" s="27"/>
      <c r="J86" s="28"/>
      <c r="K86" s="60"/>
      <c r="L86" s="6">
        <f>SUM(L79:L85)</f>
        <v>154.25</v>
      </c>
      <c r="M86" s="7"/>
      <c r="O86" s="7"/>
      <c r="Q86" s="7"/>
      <c r="S86" s="7"/>
      <c r="U86" s="7"/>
      <c r="W86" s="7"/>
    </row>
    <row r="87">
      <c r="F87" s="7"/>
      <c r="G87" s="7"/>
      <c r="I87" s="7"/>
      <c r="K87" s="62"/>
      <c r="L87" s="7"/>
      <c r="M87" s="7"/>
      <c r="O87" s="7"/>
      <c r="Q87" s="7"/>
      <c r="S87" s="7"/>
      <c r="U87" s="7"/>
      <c r="W87" s="7"/>
    </row>
    <row r="88">
      <c r="A88" s="25"/>
      <c r="B88" s="26" t="s">
        <v>22</v>
      </c>
      <c r="C88" s="27"/>
      <c r="D88" s="27"/>
      <c r="E88" s="27"/>
      <c r="F88" s="28"/>
      <c r="G88" s="7"/>
      <c r="H88" s="26" t="s">
        <v>248</v>
      </c>
      <c r="I88" s="27"/>
      <c r="J88" s="27"/>
      <c r="K88" s="27"/>
      <c r="L88" s="28"/>
      <c r="M88" s="7"/>
      <c r="O88" s="7"/>
      <c r="Q88" s="7"/>
      <c r="S88" s="7"/>
      <c r="U88" s="7"/>
      <c r="W88" s="7"/>
    </row>
    <row r="89">
      <c r="A89" s="25"/>
      <c r="B89" s="26" t="s">
        <v>33</v>
      </c>
      <c r="C89" s="27"/>
      <c r="D89" s="28"/>
      <c r="E89" s="30" t="s">
        <v>34</v>
      </c>
      <c r="F89" s="31" t="s">
        <v>35</v>
      </c>
      <c r="G89" s="7"/>
      <c r="H89" s="26" t="s">
        <v>33</v>
      </c>
      <c r="I89" s="27"/>
      <c r="J89" s="28"/>
      <c r="K89" s="34" t="s">
        <v>34</v>
      </c>
      <c r="L89" s="31" t="s">
        <v>35</v>
      </c>
      <c r="M89" s="7"/>
      <c r="O89" s="7"/>
      <c r="Q89" s="7"/>
      <c r="S89" s="7"/>
      <c r="U89" s="7"/>
      <c r="W89" s="7"/>
    </row>
    <row r="90">
      <c r="A90" s="2"/>
      <c r="B90" s="35"/>
      <c r="C90" s="27"/>
      <c r="D90" s="28"/>
      <c r="E90" s="36"/>
      <c r="F90" s="3"/>
      <c r="G90" s="7"/>
      <c r="H90" s="35"/>
      <c r="I90" s="27"/>
      <c r="J90" s="28"/>
      <c r="K90" s="59"/>
      <c r="L90" s="3"/>
      <c r="M90" s="7"/>
      <c r="O90" s="7"/>
      <c r="Q90" s="7"/>
      <c r="S90" s="7"/>
      <c r="U90" s="7"/>
      <c r="W90" s="7"/>
    </row>
    <row r="91">
      <c r="A91" s="50"/>
      <c r="B91" s="53"/>
      <c r="C91" s="27"/>
      <c r="D91" s="28"/>
      <c r="E91" s="45"/>
      <c r="F91" s="6"/>
      <c r="G91" s="7"/>
      <c r="H91" s="35"/>
      <c r="I91" s="27"/>
      <c r="J91" s="28"/>
      <c r="K91" s="59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45"/>
      <c r="F92" s="6"/>
      <c r="G92" s="7"/>
      <c r="H92" s="35"/>
      <c r="I92" s="27"/>
      <c r="J92" s="28"/>
      <c r="K92" s="59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45"/>
      <c r="F93" s="6"/>
      <c r="G93" s="7"/>
      <c r="H93" s="35"/>
      <c r="I93" s="27"/>
      <c r="J93" s="28"/>
      <c r="K93" s="59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45"/>
      <c r="F94" s="6"/>
      <c r="G94" s="7"/>
      <c r="H94" s="35"/>
      <c r="I94" s="27"/>
      <c r="J94" s="28"/>
      <c r="K94" s="59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45"/>
      <c r="F95" s="6"/>
      <c r="G95" s="7"/>
      <c r="H95" s="35"/>
      <c r="I95" s="27"/>
      <c r="J95" s="28"/>
      <c r="K95" s="59"/>
      <c r="L95" s="3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45"/>
      <c r="F96" s="6"/>
      <c r="G96" s="7"/>
      <c r="H96" s="35"/>
      <c r="I96" s="27"/>
      <c r="J96" s="28"/>
      <c r="K96" s="59"/>
      <c r="L96" s="6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45"/>
      <c r="F97" s="6"/>
      <c r="G97" s="7"/>
      <c r="H97" s="35"/>
      <c r="I97" s="27"/>
      <c r="J97" s="28"/>
      <c r="K97" s="59"/>
      <c r="L97" s="3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45"/>
      <c r="F98" s="6"/>
      <c r="G98" s="7"/>
      <c r="H98" s="35"/>
      <c r="I98" s="27"/>
      <c r="J98" s="28"/>
      <c r="K98" s="59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45"/>
      <c r="F99" s="6"/>
      <c r="G99" s="7"/>
      <c r="H99" s="35"/>
      <c r="I99" s="27"/>
      <c r="J99" s="28"/>
      <c r="K99" s="59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45"/>
      <c r="F100" s="6"/>
      <c r="G100" s="7"/>
      <c r="H100" s="35"/>
      <c r="I100" s="27"/>
      <c r="J100" s="28"/>
      <c r="K100" s="59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45"/>
      <c r="F101" s="6"/>
      <c r="G101" s="7"/>
      <c r="H101" s="35"/>
      <c r="I101" s="27"/>
      <c r="J101" s="28"/>
      <c r="K101" s="59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45"/>
      <c r="F102" s="6"/>
      <c r="G102" s="7"/>
      <c r="H102" s="35"/>
      <c r="I102" s="27"/>
      <c r="J102" s="28"/>
      <c r="K102" s="59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45"/>
      <c r="F103" s="6"/>
      <c r="G103" s="7"/>
      <c r="H103" s="35"/>
      <c r="I103" s="27"/>
      <c r="J103" s="28"/>
      <c r="K103" s="59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45"/>
      <c r="F104" s="6"/>
      <c r="G104" s="7"/>
      <c r="H104" s="35"/>
      <c r="I104" s="27"/>
      <c r="J104" s="28"/>
      <c r="K104" s="59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45"/>
      <c r="F105" s="6"/>
      <c r="G105" s="7"/>
      <c r="H105" s="35"/>
      <c r="I105" s="27"/>
      <c r="J105" s="28"/>
      <c r="K105" s="59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45"/>
      <c r="F106" s="6"/>
      <c r="G106" s="7"/>
      <c r="H106" s="35"/>
      <c r="I106" s="27"/>
      <c r="J106" s="28"/>
      <c r="K106" s="59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45"/>
      <c r="F107" s="6"/>
      <c r="G107" s="7"/>
      <c r="H107" s="35"/>
      <c r="I107" s="27"/>
      <c r="J107" s="28"/>
      <c r="K107" s="59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45"/>
      <c r="F108" s="6"/>
      <c r="G108" s="7"/>
      <c r="H108" s="35"/>
      <c r="I108" s="27"/>
      <c r="J108" s="28"/>
      <c r="K108" s="59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45"/>
      <c r="F109" s="6"/>
      <c r="G109" s="7"/>
      <c r="H109" s="35"/>
      <c r="I109" s="27"/>
      <c r="J109" s="28"/>
      <c r="K109" s="59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45"/>
      <c r="F110" s="6"/>
      <c r="G110" s="7"/>
      <c r="H110" s="35"/>
      <c r="I110" s="27"/>
      <c r="J110" s="28"/>
      <c r="K110" s="59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45"/>
      <c r="F111" s="6"/>
      <c r="G111" s="7"/>
      <c r="H111" s="35"/>
      <c r="I111" s="27"/>
      <c r="J111" s="28"/>
      <c r="K111" s="59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45"/>
      <c r="F112" s="6"/>
      <c r="G112" s="7"/>
      <c r="H112" s="35"/>
      <c r="I112" s="27"/>
      <c r="J112" s="28"/>
      <c r="K112" s="59"/>
      <c r="L112" s="3"/>
      <c r="M112" s="7"/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45"/>
      <c r="F113" s="6"/>
      <c r="G113" s="7"/>
      <c r="H113" s="35"/>
      <c r="I113" s="27"/>
      <c r="J113" s="28"/>
      <c r="K113" s="59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45"/>
      <c r="F114" s="6"/>
      <c r="G114" s="7"/>
      <c r="H114" s="35"/>
      <c r="I114" s="27"/>
      <c r="J114" s="28"/>
      <c r="K114" s="59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45"/>
      <c r="F115" s="6"/>
      <c r="G115" s="7"/>
      <c r="H115" s="35"/>
      <c r="I115" s="27"/>
      <c r="J115" s="28"/>
      <c r="K115" s="59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45"/>
      <c r="F116" s="6"/>
      <c r="G116" s="7"/>
      <c r="H116" s="35"/>
      <c r="I116" s="27"/>
      <c r="J116" s="28"/>
      <c r="K116" s="59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45"/>
      <c r="F117" s="6"/>
      <c r="G117" s="7"/>
      <c r="H117" s="35"/>
      <c r="I117" s="27"/>
      <c r="J117" s="28"/>
      <c r="K117" s="59"/>
      <c r="L117" s="3"/>
      <c r="M117" s="7"/>
      <c r="O117" s="7"/>
      <c r="Q117" s="7"/>
      <c r="S117" s="7"/>
      <c r="U117" s="7"/>
      <c r="W117" s="7"/>
    </row>
    <row r="118">
      <c r="A118" s="50"/>
      <c r="B118" s="53"/>
      <c r="C118" s="27"/>
      <c r="D118" s="28"/>
      <c r="E118" s="45"/>
      <c r="F118" s="6"/>
      <c r="G118" s="7"/>
      <c r="H118" s="35"/>
      <c r="I118" s="27"/>
      <c r="J118" s="28"/>
      <c r="K118" s="59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7"/>
      <c r="D119" s="28"/>
      <c r="E119" s="45"/>
      <c r="F119" s="6">
        <f>SUM(F90:F96)</f>
        <v>0</v>
      </c>
      <c r="G119" s="7"/>
      <c r="H119" s="35" t="s">
        <v>17</v>
      </c>
      <c r="I119" s="27"/>
      <c r="J119" s="28"/>
      <c r="K119" s="60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62"/>
      <c r="L120" s="7"/>
      <c r="M120" s="7"/>
      <c r="O120" s="7"/>
      <c r="Q120" s="7"/>
      <c r="S120" s="7"/>
      <c r="U120" s="7"/>
      <c r="W120" s="7"/>
    </row>
    <row r="121">
      <c r="B121" s="26" t="s">
        <v>28</v>
      </c>
      <c r="C121" s="27"/>
      <c r="D121" s="27"/>
      <c r="E121" s="27"/>
      <c r="F121" s="28"/>
      <c r="G121" s="7"/>
      <c r="I121" s="7"/>
      <c r="K121" s="62"/>
      <c r="L121" s="7"/>
      <c r="M121" s="7"/>
      <c r="O121" s="7"/>
      <c r="Q121" s="7"/>
      <c r="S121" s="7"/>
      <c r="U121" s="7"/>
      <c r="W121" s="7"/>
    </row>
    <row r="122">
      <c r="B122" s="26" t="s">
        <v>33</v>
      </c>
      <c r="C122" s="27"/>
      <c r="D122" s="28"/>
      <c r="E122" s="30" t="s">
        <v>34</v>
      </c>
      <c r="F122" s="31" t="s">
        <v>35</v>
      </c>
      <c r="G122" s="7"/>
      <c r="I122" s="7"/>
      <c r="K122" s="62"/>
      <c r="L122" s="7"/>
      <c r="M122" s="7"/>
      <c r="O122" s="7"/>
      <c r="Q122" s="7"/>
      <c r="S122" s="7"/>
      <c r="U122" s="7"/>
      <c r="W122" s="7"/>
    </row>
    <row r="123">
      <c r="B123" s="26" t="s">
        <v>128</v>
      </c>
      <c r="C123" s="27"/>
      <c r="D123" s="28"/>
      <c r="E123" s="63">
        <v>43685.0</v>
      </c>
      <c r="F123" s="31">
        <v>22.0</v>
      </c>
      <c r="G123" s="7"/>
      <c r="I123" s="7"/>
      <c r="K123" s="62"/>
      <c r="L123" s="7"/>
      <c r="M123" s="7"/>
      <c r="O123" s="7"/>
      <c r="Q123" s="7"/>
      <c r="S123" s="7"/>
      <c r="U123" s="7"/>
      <c r="W123" s="7"/>
    </row>
    <row r="124">
      <c r="B124" s="26" t="s">
        <v>86</v>
      </c>
      <c r="C124" s="27"/>
      <c r="D124" s="28"/>
      <c r="E124" s="64">
        <v>43693.0</v>
      </c>
      <c r="F124" s="31">
        <v>20.0</v>
      </c>
      <c r="G124" s="7"/>
      <c r="I124" s="7"/>
      <c r="K124" s="62"/>
      <c r="L124" s="7"/>
      <c r="M124" s="7"/>
      <c r="O124" s="7"/>
      <c r="Q124" s="7"/>
      <c r="S124" s="7"/>
      <c r="U124" s="7"/>
      <c r="W124" s="7"/>
    </row>
    <row r="125">
      <c r="B125" s="26" t="s">
        <v>86</v>
      </c>
      <c r="C125" s="27"/>
      <c r="D125" s="28"/>
      <c r="E125" s="63">
        <v>43698.0</v>
      </c>
      <c r="F125" s="31">
        <v>40.0</v>
      </c>
      <c r="G125" s="7"/>
      <c r="I125" s="7"/>
      <c r="K125" s="62"/>
      <c r="L125" s="7"/>
      <c r="M125" s="7"/>
      <c r="O125" s="7"/>
      <c r="Q125" s="7"/>
      <c r="S125" s="7"/>
      <c r="U125" s="7"/>
      <c r="W125" s="7"/>
    </row>
    <row r="126">
      <c r="B126" s="26" t="s">
        <v>350</v>
      </c>
      <c r="C126" s="27"/>
      <c r="D126" s="28"/>
      <c r="E126" s="38">
        <v>43705.0</v>
      </c>
      <c r="F126" s="31">
        <v>35.0</v>
      </c>
      <c r="G126" s="7"/>
      <c r="I126" s="7"/>
      <c r="K126" s="62"/>
      <c r="L126" s="7"/>
      <c r="M126" s="7"/>
      <c r="O126" s="7"/>
      <c r="Q126" s="7"/>
      <c r="S126" s="7"/>
      <c r="U126" s="7"/>
      <c r="W126" s="7"/>
    </row>
    <row r="127">
      <c r="B127" s="26" t="s">
        <v>86</v>
      </c>
      <c r="C127" s="27"/>
      <c r="D127" s="28"/>
      <c r="E127" s="64">
        <v>43707.0</v>
      </c>
      <c r="F127" s="31">
        <v>10.0</v>
      </c>
      <c r="G127" s="7"/>
      <c r="I127" s="7"/>
      <c r="K127" s="62"/>
      <c r="L127" s="7"/>
      <c r="M127" s="7"/>
      <c r="O127" s="7"/>
      <c r="Q127" s="7"/>
      <c r="S127" s="7"/>
      <c r="U127" s="7"/>
      <c r="W127" s="7"/>
    </row>
    <row r="128">
      <c r="B128" s="26" t="s">
        <v>86</v>
      </c>
      <c r="C128" s="27"/>
      <c r="D128" s="28"/>
      <c r="E128" s="63">
        <v>43706.0</v>
      </c>
      <c r="F128" s="31">
        <v>10.0</v>
      </c>
      <c r="G128" s="7"/>
      <c r="I128" s="7"/>
      <c r="K128" s="62"/>
      <c r="L128" s="7"/>
      <c r="M128" s="7"/>
      <c r="O128" s="7"/>
      <c r="Q128" s="7"/>
      <c r="S128" s="7"/>
      <c r="U128" s="7"/>
      <c r="W128" s="7"/>
    </row>
    <row r="129">
      <c r="B129" s="26"/>
      <c r="C129" s="27"/>
      <c r="D129" s="28"/>
      <c r="E129" s="63"/>
      <c r="F129" s="31"/>
      <c r="G129" s="7"/>
      <c r="I129" s="7"/>
      <c r="K129" s="62"/>
      <c r="L129" s="7"/>
      <c r="M129" s="7"/>
      <c r="O129" s="7"/>
      <c r="Q129" s="7"/>
      <c r="S129" s="7"/>
      <c r="U129" s="7"/>
      <c r="W129" s="7"/>
    </row>
    <row r="130">
      <c r="B130" s="26"/>
      <c r="C130" s="27"/>
      <c r="D130" s="28"/>
      <c r="E130" s="63"/>
      <c r="F130" s="31"/>
      <c r="G130" s="7"/>
      <c r="I130" s="7"/>
      <c r="K130" s="62"/>
      <c r="L130" s="7"/>
      <c r="M130" s="7"/>
      <c r="O130" s="7"/>
      <c r="Q130" s="7"/>
      <c r="S130" s="7"/>
      <c r="U130" s="7"/>
      <c r="W130" s="7"/>
    </row>
    <row r="131">
      <c r="B131" s="26"/>
      <c r="C131" s="27"/>
      <c r="D131" s="28"/>
      <c r="E131" s="63"/>
      <c r="F131" s="31"/>
      <c r="G131" s="7"/>
      <c r="I131" s="7"/>
      <c r="K131" s="62"/>
      <c r="L131" s="7"/>
      <c r="M131" s="7"/>
      <c r="O131" s="7"/>
      <c r="Q131" s="7"/>
      <c r="S131" s="7"/>
      <c r="U131" s="7"/>
      <c r="W131" s="7"/>
    </row>
    <row r="132">
      <c r="B132" s="26"/>
      <c r="C132" s="27"/>
      <c r="D132" s="28"/>
      <c r="E132" s="63"/>
      <c r="F132" s="31"/>
      <c r="G132" s="7"/>
      <c r="I132" s="7"/>
      <c r="K132" s="62"/>
      <c r="L132" s="7"/>
      <c r="M132" s="7"/>
      <c r="O132" s="7"/>
      <c r="Q132" s="7"/>
      <c r="S132" s="7"/>
      <c r="U132" s="7"/>
      <c r="W132" s="7"/>
    </row>
    <row r="133">
      <c r="B133" s="26"/>
      <c r="C133" s="27"/>
      <c r="D133" s="28"/>
      <c r="E133" s="63"/>
      <c r="F133" s="31"/>
      <c r="G133" s="7"/>
      <c r="I133" s="7"/>
      <c r="K133" s="62"/>
      <c r="L133" s="7"/>
      <c r="M133" s="7"/>
      <c r="O133" s="7"/>
      <c r="Q133" s="7"/>
      <c r="S133" s="7"/>
      <c r="U133" s="7"/>
      <c r="W133" s="7"/>
    </row>
    <row r="134">
      <c r="B134" s="26"/>
      <c r="C134" s="27"/>
      <c r="D134" s="28"/>
      <c r="E134" s="63"/>
      <c r="F134" s="31"/>
      <c r="G134" s="7"/>
      <c r="I134" s="7"/>
      <c r="K134" s="62"/>
      <c r="L134" s="7"/>
      <c r="M134" s="7"/>
      <c r="O134" s="7"/>
      <c r="Q134" s="7"/>
      <c r="S134" s="7"/>
      <c r="U134" s="7"/>
      <c r="W134" s="7"/>
    </row>
    <row r="135">
      <c r="B135" s="26"/>
      <c r="C135" s="27"/>
      <c r="D135" s="28"/>
      <c r="E135" s="63"/>
      <c r="F135" s="31"/>
      <c r="G135" s="7"/>
      <c r="I135" s="7"/>
      <c r="K135" s="62"/>
      <c r="L135" s="7"/>
      <c r="M135" s="7"/>
      <c r="O135" s="7"/>
      <c r="Q135" s="7"/>
      <c r="S135" s="7"/>
      <c r="U135" s="7"/>
      <c r="W135" s="7"/>
    </row>
    <row r="136">
      <c r="B136" s="26"/>
      <c r="C136" s="27"/>
      <c r="D136" s="28"/>
      <c r="E136" s="63"/>
      <c r="F136" s="31"/>
      <c r="G136" s="7"/>
      <c r="I136" s="7"/>
      <c r="K136" s="62"/>
      <c r="L136" s="7"/>
      <c r="M136" s="7"/>
      <c r="O136" s="7"/>
      <c r="Q136" s="7"/>
      <c r="S136" s="7"/>
      <c r="U136" s="7"/>
      <c r="W136" s="7"/>
    </row>
    <row r="137">
      <c r="B137" s="26"/>
      <c r="C137" s="27"/>
      <c r="D137" s="28"/>
      <c r="E137" s="63"/>
      <c r="F137" s="31"/>
      <c r="G137" s="7"/>
      <c r="I137" s="7"/>
      <c r="K137" s="62"/>
      <c r="L137" s="7"/>
      <c r="M137" s="7"/>
      <c r="O137" s="7"/>
      <c r="Q137" s="7"/>
      <c r="S137" s="7"/>
      <c r="U137" s="7"/>
      <c r="W137" s="7"/>
    </row>
    <row r="138">
      <c r="B138" s="26"/>
      <c r="C138" s="27"/>
      <c r="D138" s="28"/>
      <c r="E138" s="63"/>
      <c r="F138" s="31"/>
      <c r="G138" s="7"/>
      <c r="I138" s="7"/>
      <c r="K138" s="62"/>
      <c r="L138" s="7"/>
      <c r="M138" s="7"/>
      <c r="O138" s="7"/>
      <c r="Q138" s="7"/>
      <c r="S138" s="7"/>
      <c r="U138" s="7"/>
      <c r="W138" s="7"/>
    </row>
    <row r="139">
      <c r="B139" s="43" t="s">
        <v>17</v>
      </c>
      <c r="C139" s="27"/>
      <c r="D139" s="27"/>
      <c r="E139" s="28"/>
      <c r="F139" s="31">
        <f>SUM(F123:F138)</f>
        <v>137</v>
      </c>
      <c r="G139" s="7"/>
      <c r="I139" s="7"/>
      <c r="K139" s="62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62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62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62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62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62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62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62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62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62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62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62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62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62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62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62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62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62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62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62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62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62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62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62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62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62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62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62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62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62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62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62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62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62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62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62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62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62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62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62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62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62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62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62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62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62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62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62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62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62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62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62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62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62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62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62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62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62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62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62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62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62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62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62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62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62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62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62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62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62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62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62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62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62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62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62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62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62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62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62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62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62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62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62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62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62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62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62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62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62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62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62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62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62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62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62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62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62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62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62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62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62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62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62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62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62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62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62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62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62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62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62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62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62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62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62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62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62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62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62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62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62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62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62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62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62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62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62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62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62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62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62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62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62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62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62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62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62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62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62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62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62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62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62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62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62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62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62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62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62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62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62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62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62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62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62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62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62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62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62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62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62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62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62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62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62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62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62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62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62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62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62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62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62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62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62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62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62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62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62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62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62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62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62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62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62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62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62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62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62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62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62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62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62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62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62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62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62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62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62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62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62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62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62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62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62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62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62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62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62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62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62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62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62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62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62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62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62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62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62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62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62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62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62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62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62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62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62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62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62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62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62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62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62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62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62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62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62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62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62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62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62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62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62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62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62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62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62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62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62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62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62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62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62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62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62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62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62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62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62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62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62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62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62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62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62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62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62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62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62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62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62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62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62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62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62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62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62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62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62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62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62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62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62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62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62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62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62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62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62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62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62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62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62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62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62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62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62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62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62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62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62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62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62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62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62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62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62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62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62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62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62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62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62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62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62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62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62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62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62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62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62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62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62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62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62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62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62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62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62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62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62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62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62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62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62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62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62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62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62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62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62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62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62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62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62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62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62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62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62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62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62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62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62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62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62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62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62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62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62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62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62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62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62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62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62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62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62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62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62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62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62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62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62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62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62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62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62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62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62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62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62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62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62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62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62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62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62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62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62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62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62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62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62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62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62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62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62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62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62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62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62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62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62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62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62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62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62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62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62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62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62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62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62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62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62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62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62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62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62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62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62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62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62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62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62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62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62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62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62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62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62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62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62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62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62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62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62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62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62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62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62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62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62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62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62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62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62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62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62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62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62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62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62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62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62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62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62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62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62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62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62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62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62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62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62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62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62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62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62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62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62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62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62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62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62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62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62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62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62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62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62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62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62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62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62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62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62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62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62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62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62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62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62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62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62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62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62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62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62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62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62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62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62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62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62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62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62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62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62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62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62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62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62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62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62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62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62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62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62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62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62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62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62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62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62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62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62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62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62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62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62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62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62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62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62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62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62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62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62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62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62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62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62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62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62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62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62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62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62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62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62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62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62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62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62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62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62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62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62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62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62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62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62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62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62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62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62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62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62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62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62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62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62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62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62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62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62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62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62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62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62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62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62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62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62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62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62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62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62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62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62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62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62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62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62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62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62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62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62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62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62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62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62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62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62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62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62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62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62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62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62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62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62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62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62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62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62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62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62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62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62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62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62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62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62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62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62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62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62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62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62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62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62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62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62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62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62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62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62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62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62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62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62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62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62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62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62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62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62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62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62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62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62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62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62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62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62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62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62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62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62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62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62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62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62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62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62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62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62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62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62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62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62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62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62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62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62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62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62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62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62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62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62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62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62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62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62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62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62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62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62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62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62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62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62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62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62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62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62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62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62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62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62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62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62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62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62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62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62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62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62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62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62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62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62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62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62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62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62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62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62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62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62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62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62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62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62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62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62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62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62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62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62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62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62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62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62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62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62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62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62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62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62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62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62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62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62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62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62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62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62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62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62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62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62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62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62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62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62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62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62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62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62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62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62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62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62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62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62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62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62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62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62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62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62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62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62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62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62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62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62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62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62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62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62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62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62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62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62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62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62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62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62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62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62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62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62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62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62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62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62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62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62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62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62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62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62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62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62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62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62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62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62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62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62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62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62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62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62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62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62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62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62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62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62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62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62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62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62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62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62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62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62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62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62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62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62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62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62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62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62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62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62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62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62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62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62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62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62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62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62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62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62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62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62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62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62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62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62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62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62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62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62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62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62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62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62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62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62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62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62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62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62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62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62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62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62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62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62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62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62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62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62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62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62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62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62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62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62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62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62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62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62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62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62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62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62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62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62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62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62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62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62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62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62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62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62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62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62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62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62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62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62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62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62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62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62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62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62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62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62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62"/>
      <c r="L1061" s="7"/>
      <c r="M1061" s="7"/>
      <c r="O1061" s="7"/>
      <c r="Q1061" s="7"/>
      <c r="S1061" s="7"/>
      <c r="U1061" s="7"/>
      <c r="W1061" s="7"/>
    </row>
    <row r="1062">
      <c r="F1062" s="7"/>
      <c r="G1062" s="7"/>
      <c r="I1062" s="7"/>
      <c r="K1062" s="62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351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4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/>
      <c r="C6" s="27"/>
      <c r="D6" s="28"/>
      <c r="E6" s="38"/>
      <c r="F6" s="31"/>
      <c r="G6" s="32"/>
      <c r="H6" s="35" t="s">
        <v>39</v>
      </c>
      <c r="I6" s="27"/>
      <c r="J6" s="28"/>
      <c r="K6" s="59">
        <v>43497.0</v>
      </c>
      <c r="L6" s="3">
        <v>1.5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36"/>
      <c r="F7" s="31"/>
      <c r="G7" s="37"/>
      <c r="H7" s="35" t="s">
        <v>326</v>
      </c>
      <c r="I7" s="27"/>
      <c r="J7" s="28"/>
      <c r="K7" s="58">
        <v>43712.0</v>
      </c>
      <c r="L7" s="3">
        <v>1.0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45</v>
      </c>
      <c r="I8" s="27"/>
      <c r="J8" s="28"/>
      <c r="K8" s="59">
        <v>43713.0</v>
      </c>
      <c r="L8" s="3">
        <v>5.0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39</v>
      </c>
      <c r="I9" s="27"/>
      <c r="J9" s="28"/>
      <c r="K9" s="59">
        <v>43714.0</v>
      </c>
      <c r="L9" s="3">
        <v>1.5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352</v>
      </c>
      <c r="I10" s="27"/>
      <c r="J10" s="28"/>
      <c r="K10" s="59">
        <v>43715.0</v>
      </c>
      <c r="L10" s="3">
        <f>22.5/2</f>
        <v>11.25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39</v>
      </c>
      <c r="I11" s="27"/>
      <c r="J11" s="28"/>
      <c r="K11" s="59">
        <v>43716.0</v>
      </c>
      <c r="L11" s="3">
        <v>1.5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39</v>
      </c>
      <c r="I12" s="27"/>
      <c r="J12" s="28"/>
      <c r="K12" s="59">
        <v>43718.0</v>
      </c>
      <c r="L12" s="3">
        <v>1.0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39</v>
      </c>
      <c r="I13" s="27"/>
      <c r="J13" s="28"/>
      <c r="K13" s="59">
        <v>43720.0</v>
      </c>
      <c r="L13" s="3">
        <v>1.5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353</v>
      </c>
      <c r="I14" s="27"/>
      <c r="J14" s="28"/>
      <c r="K14" s="59">
        <v>43719.0</v>
      </c>
      <c r="L14" s="3">
        <v>2.5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39</v>
      </c>
      <c r="I15" s="27"/>
      <c r="J15" s="28"/>
      <c r="K15" s="58">
        <v>43726.0</v>
      </c>
      <c r="L15" s="3">
        <v>1.5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354</v>
      </c>
      <c r="I16" s="27"/>
      <c r="J16" s="28"/>
      <c r="K16" s="58">
        <v>43726.0</v>
      </c>
      <c r="L16" s="3">
        <v>3.5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39</v>
      </c>
      <c r="I17" s="27"/>
      <c r="J17" s="28"/>
      <c r="K17" s="59">
        <v>43727.0</v>
      </c>
      <c r="L17" s="3">
        <v>2.0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59">
        <v>43735.0</v>
      </c>
      <c r="L18" s="3">
        <v>2.0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 t="s">
        <v>355</v>
      </c>
      <c r="I19" s="27"/>
      <c r="J19" s="28"/>
      <c r="K19" s="59">
        <v>43736.0</v>
      </c>
      <c r="L19" s="3">
        <v>5.5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/>
      <c r="I20" s="27"/>
      <c r="J20" s="28"/>
      <c r="K20" s="59"/>
      <c r="L20" s="3"/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/>
      <c r="I21" s="27"/>
      <c r="J21" s="28"/>
      <c r="K21" s="59"/>
      <c r="L21" s="3"/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/>
      <c r="I22" s="27"/>
      <c r="J22" s="28"/>
      <c r="K22" s="58"/>
      <c r="L22" s="3"/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/>
      <c r="I23" s="27"/>
      <c r="J23" s="28"/>
      <c r="K23" s="59"/>
      <c r="L23" s="3"/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8"/>
      <c r="F24" s="40"/>
      <c r="G24" s="37"/>
      <c r="H24" s="43"/>
      <c r="I24" s="27"/>
      <c r="J24" s="28"/>
      <c r="K24" s="59"/>
      <c r="L24" s="3"/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8"/>
      <c r="F25" s="40"/>
      <c r="G25" s="37"/>
      <c r="H25" s="43"/>
      <c r="I25" s="27"/>
      <c r="J25" s="28"/>
      <c r="K25" s="59"/>
      <c r="L25" s="3"/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8"/>
      <c r="F26" s="40"/>
      <c r="G26" s="37"/>
      <c r="H26" s="43"/>
      <c r="I26" s="27"/>
      <c r="J26" s="28"/>
      <c r="K26" s="59"/>
      <c r="L26" s="3"/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8"/>
      <c r="F27" s="40"/>
      <c r="G27" s="37"/>
      <c r="H27" s="43"/>
      <c r="I27" s="27"/>
      <c r="J27" s="28"/>
      <c r="K27" s="59"/>
      <c r="L27" s="3"/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8"/>
      <c r="F28" s="40"/>
      <c r="G28" s="37"/>
      <c r="H28" s="43"/>
      <c r="I28" s="27"/>
      <c r="J28" s="28"/>
      <c r="K28" s="59"/>
      <c r="L28" s="3"/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8"/>
      <c r="F29" s="40"/>
      <c r="G29" s="37"/>
      <c r="H29" s="43"/>
      <c r="I29" s="27"/>
      <c r="J29" s="28"/>
      <c r="K29" s="59"/>
      <c r="L29" s="3"/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8"/>
      <c r="F30" s="40"/>
      <c r="G30" s="37"/>
      <c r="H30" s="43"/>
      <c r="I30" s="27"/>
      <c r="J30" s="28"/>
      <c r="K30" s="59"/>
      <c r="L30" s="3"/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8"/>
      <c r="F31" s="40"/>
      <c r="G31" s="37"/>
      <c r="H31" s="43"/>
      <c r="I31" s="27"/>
      <c r="J31" s="28"/>
      <c r="K31" s="59"/>
      <c r="L31" s="3"/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8"/>
      <c r="F32" s="40"/>
      <c r="G32" s="37"/>
      <c r="H32" s="43"/>
      <c r="I32" s="27"/>
      <c r="J32" s="28"/>
      <c r="K32" s="59"/>
      <c r="L32" s="3"/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8"/>
      <c r="F33" s="40"/>
      <c r="G33" s="37"/>
      <c r="H33" s="43"/>
      <c r="I33" s="27"/>
      <c r="J33" s="28"/>
      <c r="K33" s="59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8"/>
      <c r="F34" s="40"/>
      <c r="G34" s="37"/>
      <c r="H34" s="43"/>
      <c r="I34" s="27"/>
      <c r="J34" s="28"/>
      <c r="K34" s="59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8"/>
      <c r="F35" s="40"/>
      <c r="G35" s="37"/>
      <c r="H35" s="43"/>
      <c r="I35" s="27"/>
      <c r="J35" s="28"/>
      <c r="K35" s="59"/>
      <c r="L35" s="3"/>
      <c r="M35" s="7"/>
      <c r="N35" s="41"/>
      <c r="O35" s="42"/>
      <c r="Q35" s="7"/>
      <c r="S35" s="7"/>
      <c r="U35" s="7"/>
      <c r="W35" s="7"/>
    </row>
    <row r="36">
      <c r="A36" s="33"/>
      <c r="B36" s="39"/>
      <c r="C36" s="27"/>
      <c r="D36" s="28"/>
      <c r="E36" s="38"/>
      <c r="F36" s="40"/>
      <c r="G36" s="37"/>
      <c r="H36" s="43"/>
      <c r="I36" s="27"/>
      <c r="J36" s="28"/>
      <c r="K36" s="59"/>
      <c r="L36" s="3"/>
      <c r="M36" s="7"/>
      <c r="N36" s="41"/>
      <c r="O36" s="42"/>
      <c r="Q36" s="7"/>
      <c r="S36" s="7"/>
      <c r="U36" s="7"/>
      <c r="W36" s="7"/>
    </row>
    <row r="37">
      <c r="A37" s="2"/>
      <c r="B37" s="35" t="s">
        <v>17</v>
      </c>
      <c r="C37" s="27"/>
      <c r="D37" s="28"/>
      <c r="E37" s="45"/>
      <c r="F37" s="6">
        <f>SUM(F6:F12)</f>
        <v>0</v>
      </c>
      <c r="G37" s="7"/>
      <c r="H37" s="35" t="s">
        <v>17</v>
      </c>
      <c r="I37" s="27"/>
      <c r="J37" s="28"/>
      <c r="K37" s="60"/>
      <c r="L37" s="6">
        <f>SUM(L6:L36)</f>
        <v>41.25</v>
      </c>
      <c r="M37" s="7"/>
      <c r="N37" s="41"/>
      <c r="O37" s="20"/>
      <c r="Q37" s="7"/>
      <c r="S37" s="7"/>
      <c r="U37" s="7"/>
      <c r="W37" s="7"/>
    </row>
    <row r="38" ht="9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61"/>
      <c r="L38" s="25"/>
      <c r="M38" s="7"/>
      <c r="N38" s="46"/>
      <c r="O38" s="47"/>
      <c r="Q38" s="7"/>
      <c r="S38" s="7"/>
      <c r="U38" s="7"/>
      <c r="W38" s="7"/>
    </row>
    <row r="39">
      <c r="A39" s="25"/>
      <c r="B39" s="26" t="s">
        <v>26</v>
      </c>
      <c r="C39" s="27"/>
      <c r="D39" s="27"/>
      <c r="E39" s="27"/>
      <c r="F39" s="28"/>
      <c r="G39" s="25"/>
      <c r="H39" s="26" t="s">
        <v>25</v>
      </c>
      <c r="I39" s="27"/>
      <c r="J39" s="27"/>
      <c r="K39" s="27"/>
      <c r="L39" s="28"/>
      <c r="M39" s="7"/>
      <c r="N39" s="46"/>
      <c r="O39" s="47"/>
      <c r="Q39" s="7"/>
      <c r="S39" s="7"/>
      <c r="U39" s="7"/>
      <c r="W39" s="7"/>
    </row>
    <row r="40">
      <c r="A40" s="25"/>
      <c r="B40" s="26" t="s">
        <v>33</v>
      </c>
      <c r="C40" s="27"/>
      <c r="D40" s="28"/>
      <c r="E40" s="30" t="s">
        <v>34</v>
      </c>
      <c r="F40" s="31" t="s">
        <v>35</v>
      </c>
      <c r="G40" s="32"/>
      <c r="H40" s="26" t="s">
        <v>33</v>
      </c>
      <c r="I40" s="27"/>
      <c r="J40" s="28"/>
      <c r="K40" s="34" t="s">
        <v>34</v>
      </c>
      <c r="L40" s="31" t="s">
        <v>35</v>
      </c>
      <c r="M40" s="7"/>
      <c r="O40" s="7"/>
      <c r="Q40" s="7"/>
      <c r="S40" s="7"/>
      <c r="U40" s="7"/>
      <c r="W40" s="7"/>
    </row>
    <row r="41">
      <c r="A41" s="2"/>
      <c r="B41" s="35" t="s">
        <v>356</v>
      </c>
      <c r="C41" s="27"/>
      <c r="D41" s="28"/>
      <c r="E41" s="36">
        <v>43709.0</v>
      </c>
      <c r="F41" s="3">
        <v>100.0</v>
      </c>
      <c r="G41" s="5"/>
      <c r="H41" s="35" t="s">
        <v>162</v>
      </c>
      <c r="I41" s="27"/>
      <c r="J41" s="28"/>
      <c r="K41" s="58">
        <v>43711.0</v>
      </c>
      <c r="L41" s="3">
        <v>6.89</v>
      </c>
      <c r="M41" s="7"/>
      <c r="O41" s="7"/>
      <c r="Q41" s="7"/>
      <c r="S41" s="7"/>
      <c r="U41" s="7"/>
      <c r="W41" s="7"/>
    </row>
    <row r="42">
      <c r="A42" s="50"/>
      <c r="B42" s="35" t="s">
        <v>357</v>
      </c>
      <c r="C42" s="27"/>
      <c r="D42" s="28"/>
      <c r="E42" s="36">
        <v>43713.0</v>
      </c>
      <c r="F42" s="3">
        <f>269-150</f>
        <v>119</v>
      </c>
      <c r="G42" s="7"/>
      <c r="H42" s="35" t="s">
        <v>175</v>
      </c>
      <c r="I42" s="27"/>
      <c r="J42" s="28"/>
      <c r="K42" s="58">
        <v>43718.0</v>
      </c>
      <c r="L42" s="49">
        <v>16.75</v>
      </c>
      <c r="M42" s="7"/>
      <c r="O42" s="7"/>
      <c r="Q42" s="7"/>
      <c r="S42" s="7"/>
      <c r="U42" s="7"/>
      <c r="W42" s="7"/>
    </row>
    <row r="43">
      <c r="A43" s="50"/>
      <c r="B43" s="35" t="s">
        <v>358</v>
      </c>
      <c r="C43" s="27"/>
      <c r="D43" s="28"/>
      <c r="E43" s="36">
        <v>43716.0</v>
      </c>
      <c r="F43" s="3">
        <v>290.0</v>
      </c>
      <c r="G43" s="7"/>
      <c r="H43" s="35" t="s">
        <v>323</v>
      </c>
      <c r="I43" s="27"/>
      <c r="J43" s="28"/>
      <c r="K43" s="58">
        <v>43718.0</v>
      </c>
      <c r="L43" s="49">
        <v>4.0</v>
      </c>
      <c r="M43" s="7"/>
      <c r="O43" s="7"/>
      <c r="Q43" s="7"/>
      <c r="S43" s="7"/>
      <c r="U43" s="7"/>
      <c r="W43" s="7"/>
    </row>
    <row r="44">
      <c r="A44" s="50"/>
      <c r="B44" s="35" t="s">
        <v>359</v>
      </c>
      <c r="C44" s="27"/>
      <c r="D44" s="28"/>
      <c r="E44" s="36">
        <v>43719.0</v>
      </c>
      <c r="F44" s="3">
        <v>105.0</v>
      </c>
      <c r="G44" s="7"/>
      <c r="H44" s="35" t="s">
        <v>360</v>
      </c>
      <c r="I44" s="27"/>
      <c r="J44" s="28"/>
      <c r="K44" s="59">
        <v>43720.0</v>
      </c>
      <c r="L44" s="49"/>
      <c r="M44" s="7"/>
      <c r="O44" s="7"/>
      <c r="Q44" s="7"/>
      <c r="S44" s="7"/>
      <c r="U44" s="7"/>
      <c r="W44" s="7"/>
    </row>
    <row r="45">
      <c r="A45" s="50"/>
      <c r="B45" s="35" t="s">
        <v>361</v>
      </c>
      <c r="C45" s="27"/>
      <c r="D45" s="28"/>
      <c r="E45" s="36">
        <v>43720.0</v>
      </c>
      <c r="F45" s="3">
        <v>15.0</v>
      </c>
      <c r="G45" s="7"/>
      <c r="H45" s="35" t="s">
        <v>323</v>
      </c>
      <c r="I45" s="27"/>
      <c r="J45" s="28"/>
      <c r="K45" s="58">
        <v>43723.0</v>
      </c>
      <c r="L45" s="49">
        <v>8.0</v>
      </c>
      <c r="M45" s="7"/>
      <c r="O45" s="7"/>
      <c r="Q45" s="7"/>
      <c r="S45" s="7"/>
      <c r="U45" s="7"/>
      <c r="W45" s="7"/>
    </row>
    <row r="46">
      <c r="A46" s="50"/>
      <c r="B46" s="35" t="s">
        <v>362</v>
      </c>
      <c r="C46" s="27"/>
      <c r="D46" s="28"/>
      <c r="E46" s="36">
        <v>43720.0</v>
      </c>
      <c r="F46" s="3">
        <v>10.0</v>
      </c>
      <c r="G46" s="7"/>
      <c r="H46" s="35" t="s">
        <v>175</v>
      </c>
      <c r="I46" s="27"/>
      <c r="J46" s="28"/>
      <c r="K46" s="58">
        <v>43726.0</v>
      </c>
      <c r="L46" s="49">
        <v>11.4</v>
      </c>
      <c r="M46" s="7"/>
      <c r="O46" s="7"/>
      <c r="P46" s="2"/>
      <c r="Q46" s="7"/>
      <c r="S46" s="7"/>
      <c r="U46" s="7"/>
      <c r="W46" s="7"/>
    </row>
    <row r="47">
      <c r="A47" s="50"/>
      <c r="B47" s="35" t="s">
        <v>363</v>
      </c>
      <c r="C47" s="27"/>
      <c r="D47" s="28"/>
      <c r="E47" s="36">
        <v>43723.0</v>
      </c>
      <c r="F47" s="3">
        <v>3.2</v>
      </c>
      <c r="G47" s="7"/>
      <c r="H47" s="35" t="s">
        <v>364</v>
      </c>
      <c r="I47" s="27"/>
      <c r="J47" s="28"/>
      <c r="K47" s="59">
        <v>43727.0</v>
      </c>
      <c r="L47" s="49">
        <v>17.63</v>
      </c>
      <c r="M47" s="7"/>
      <c r="O47" s="7"/>
      <c r="Q47" s="7"/>
      <c r="S47" s="7"/>
      <c r="U47" s="7"/>
      <c r="W47" s="7"/>
    </row>
    <row r="48">
      <c r="A48" s="50"/>
      <c r="B48" s="35" t="s">
        <v>365</v>
      </c>
      <c r="C48" s="27"/>
      <c r="D48" s="28"/>
      <c r="E48" s="36">
        <v>43723.0</v>
      </c>
      <c r="F48" s="3">
        <f>9.5+19</f>
        <v>28.5</v>
      </c>
      <c r="G48" s="7"/>
      <c r="H48" s="35" t="s">
        <v>366</v>
      </c>
      <c r="I48" s="27"/>
      <c r="J48" s="28"/>
      <c r="K48" s="59">
        <v>43727.0</v>
      </c>
      <c r="L48" s="49">
        <v>7.18</v>
      </c>
      <c r="M48" s="7"/>
      <c r="O48" s="7"/>
      <c r="Q48" s="7"/>
      <c r="S48" s="7"/>
      <c r="U48" s="7"/>
      <c r="W48" s="7"/>
    </row>
    <row r="49">
      <c r="A49" s="50"/>
      <c r="B49" s="35" t="s">
        <v>77</v>
      </c>
      <c r="C49" s="27"/>
      <c r="D49" s="28"/>
      <c r="E49" s="36">
        <v>43724.0</v>
      </c>
      <c r="F49" s="3">
        <v>60.0</v>
      </c>
      <c r="G49" s="7"/>
      <c r="H49" s="35" t="s">
        <v>367</v>
      </c>
      <c r="I49" s="27"/>
      <c r="J49" s="28"/>
      <c r="K49" s="59">
        <v>43728.0</v>
      </c>
      <c r="L49" s="49">
        <v>6.98</v>
      </c>
      <c r="M49" s="7"/>
      <c r="O49" s="7"/>
      <c r="Q49" s="7"/>
      <c r="S49" s="7"/>
      <c r="U49" s="7"/>
      <c r="W49" s="7"/>
    </row>
    <row r="50">
      <c r="A50" s="50"/>
      <c r="B50" s="35" t="s">
        <v>368</v>
      </c>
      <c r="C50" s="27"/>
      <c r="D50" s="28"/>
      <c r="E50" s="36">
        <v>43736.0</v>
      </c>
      <c r="F50" s="3">
        <v>20.0</v>
      </c>
      <c r="G50" s="7"/>
      <c r="H50" s="35" t="s">
        <v>175</v>
      </c>
      <c r="I50" s="27"/>
      <c r="J50" s="28"/>
      <c r="K50" s="59">
        <v>43732.0</v>
      </c>
      <c r="L50" s="51">
        <f>15.65-10</f>
        <v>5.65</v>
      </c>
      <c r="M50" s="7"/>
      <c r="O50" s="7"/>
      <c r="Q50" s="7"/>
      <c r="S50" s="7"/>
      <c r="U50" s="7"/>
      <c r="W50" s="7"/>
    </row>
    <row r="51">
      <c r="A51" s="50"/>
      <c r="B51" s="35" t="s">
        <v>368</v>
      </c>
      <c r="C51" s="27"/>
      <c r="D51" s="28"/>
      <c r="E51" s="36">
        <v>43737.0</v>
      </c>
      <c r="F51" s="3">
        <v>10.0</v>
      </c>
      <c r="G51" s="7"/>
      <c r="H51" s="35" t="s">
        <v>367</v>
      </c>
      <c r="I51" s="27"/>
      <c r="J51" s="28"/>
      <c r="K51" s="59">
        <v>43732.0</v>
      </c>
      <c r="L51" s="49">
        <v>6.98</v>
      </c>
      <c r="M51" s="7"/>
      <c r="O51" s="7"/>
      <c r="Q51" s="7"/>
      <c r="S51" s="7"/>
      <c r="U51" s="7"/>
      <c r="W51" s="7"/>
    </row>
    <row r="52">
      <c r="A52" s="50"/>
      <c r="B52" s="35" t="s">
        <v>369</v>
      </c>
      <c r="C52" s="27"/>
      <c r="D52" s="28"/>
      <c r="E52" s="36">
        <v>43737.0</v>
      </c>
      <c r="F52" s="3">
        <v>100.0</v>
      </c>
      <c r="G52" s="7"/>
      <c r="H52" s="35" t="s">
        <v>370</v>
      </c>
      <c r="I52" s="27"/>
      <c r="J52" s="28"/>
      <c r="K52" s="59">
        <v>43733.0</v>
      </c>
      <c r="L52" s="49">
        <v>8.9</v>
      </c>
      <c r="M52" s="7"/>
      <c r="O52" s="7"/>
      <c r="Q52" s="7"/>
      <c r="S52" s="7"/>
      <c r="U52" s="7"/>
      <c r="W52" s="7"/>
    </row>
    <row r="53">
      <c r="A53" s="50"/>
      <c r="B53" s="35"/>
      <c r="C53" s="27"/>
      <c r="D53" s="28"/>
      <c r="E53" s="36"/>
      <c r="F53" s="3"/>
      <c r="G53" s="7"/>
      <c r="H53" s="35" t="s">
        <v>307</v>
      </c>
      <c r="I53" s="27"/>
      <c r="J53" s="28"/>
      <c r="K53" s="59">
        <v>43734.0</v>
      </c>
      <c r="L53" s="49">
        <v>8.99</v>
      </c>
      <c r="M53" s="7"/>
      <c r="O53" s="7"/>
      <c r="Q53" s="7"/>
      <c r="S53" s="7"/>
      <c r="U53" s="7"/>
      <c r="W53" s="7"/>
    </row>
    <row r="54">
      <c r="A54" s="50"/>
      <c r="B54" s="35"/>
      <c r="C54" s="27"/>
      <c r="D54" s="28"/>
      <c r="E54" s="36"/>
      <c r="F54" s="3"/>
      <c r="G54" s="7"/>
      <c r="H54" s="35" t="s">
        <v>367</v>
      </c>
      <c r="I54" s="27"/>
      <c r="J54" s="28"/>
      <c r="K54" s="59">
        <v>43737.0</v>
      </c>
      <c r="L54" s="49">
        <v>6.98</v>
      </c>
      <c r="M54" s="7"/>
      <c r="O54" s="7"/>
      <c r="Q54" s="7"/>
      <c r="S54" s="7"/>
      <c r="U54" s="7"/>
      <c r="W54" s="7"/>
    </row>
    <row r="55">
      <c r="A55" s="50"/>
      <c r="B55" s="35"/>
      <c r="C55" s="27"/>
      <c r="D55" s="28"/>
      <c r="E55" s="58"/>
      <c r="F55" s="3"/>
      <c r="G55" s="7"/>
      <c r="H55" s="52"/>
      <c r="I55" s="27"/>
      <c r="J55" s="28"/>
      <c r="K55" s="60"/>
      <c r="L55" s="51"/>
      <c r="M55" s="7"/>
      <c r="O55" s="7"/>
      <c r="Q55" s="7"/>
      <c r="S55" s="7"/>
      <c r="U55" s="7"/>
      <c r="W55" s="7"/>
    </row>
    <row r="56">
      <c r="A56" s="50"/>
      <c r="B56" s="35"/>
      <c r="C56" s="27"/>
      <c r="D56" s="28"/>
      <c r="E56" s="58"/>
      <c r="F56" s="3"/>
      <c r="G56" s="7"/>
      <c r="H56" s="52"/>
      <c r="I56" s="27"/>
      <c r="J56" s="28"/>
      <c r="K56" s="60"/>
      <c r="L56" s="51"/>
      <c r="M56" s="7"/>
      <c r="O56" s="7"/>
      <c r="Q56" s="7"/>
      <c r="S56" s="7"/>
      <c r="U56" s="7"/>
      <c r="W56" s="7"/>
    </row>
    <row r="57">
      <c r="A57" s="50"/>
      <c r="B57" s="35"/>
      <c r="C57" s="27"/>
      <c r="D57" s="28"/>
      <c r="E57" s="58"/>
      <c r="F57" s="3"/>
      <c r="G57" s="7"/>
      <c r="H57" s="52"/>
      <c r="I57" s="27"/>
      <c r="J57" s="28"/>
      <c r="K57" s="60"/>
      <c r="L57" s="51"/>
      <c r="M57" s="7"/>
      <c r="O57" s="7"/>
      <c r="Q57" s="7"/>
      <c r="S57" s="7"/>
      <c r="U57" s="7"/>
      <c r="W57" s="7"/>
    </row>
    <row r="58">
      <c r="A58" s="50"/>
      <c r="B58" s="35"/>
      <c r="C58" s="27"/>
      <c r="D58" s="28"/>
      <c r="E58" s="58"/>
      <c r="F58" s="3"/>
      <c r="G58" s="7"/>
      <c r="H58" s="52"/>
      <c r="I58" s="27"/>
      <c r="J58" s="28"/>
      <c r="K58" s="60"/>
      <c r="L58" s="51"/>
      <c r="M58" s="7"/>
      <c r="O58" s="7"/>
      <c r="Q58" s="7"/>
      <c r="S58" s="7"/>
      <c r="U58" s="7"/>
      <c r="W58" s="7"/>
    </row>
    <row r="59">
      <c r="A59" s="50"/>
      <c r="B59" s="35"/>
      <c r="C59" s="27"/>
      <c r="D59" s="28"/>
      <c r="E59" s="58"/>
      <c r="F59" s="3"/>
      <c r="G59" s="7"/>
      <c r="H59" s="52"/>
      <c r="I59" s="27"/>
      <c r="J59" s="28"/>
      <c r="K59" s="60"/>
      <c r="L59" s="51"/>
      <c r="M59" s="7"/>
      <c r="O59" s="7"/>
      <c r="Q59" s="7"/>
      <c r="S59" s="7"/>
      <c r="U59" s="7"/>
      <c r="W59" s="7"/>
    </row>
    <row r="60">
      <c r="A60" s="50"/>
      <c r="B60" s="35"/>
      <c r="C60" s="27"/>
      <c r="D60" s="28"/>
      <c r="E60" s="58"/>
      <c r="F60" s="3"/>
      <c r="G60" s="7"/>
      <c r="H60" s="52"/>
      <c r="I60" s="27"/>
      <c r="J60" s="28"/>
      <c r="K60" s="60"/>
      <c r="L60" s="51"/>
      <c r="M60" s="7"/>
      <c r="O60" s="7"/>
      <c r="Q60" s="7"/>
      <c r="S60" s="7"/>
      <c r="U60" s="7"/>
      <c r="W60" s="7"/>
    </row>
    <row r="61">
      <c r="A61" s="50"/>
      <c r="B61" s="35"/>
      <c r="C61" s="27"/>
      <c r="D61" s="28"/>
      <c r="E61" s="58"/>
      <c r="F61" s="3"/>
      <c r="G61" s="7"/>
      <c r="H61" s="52"/>
      <c r="I61" s="27"/>
      <c r="J61" s="28"/>
      <c r="K61" s="60"/>
      <c r="L61" s="51"/>
      <c r="M61" s="7"/>
      <c r="O61" s="7"/>
      <c r="Q61" s="7"/>
      <c r="S61" s="7"/>
      <c r="U61" s="7"/>
      <c r="W61" s="7"/>
    </row>
    <row r="62">
      <c r="A62" s="50"/>
      <c r="B62" s="35"/>
      <c r="C62" s="27"/>
      <c r="D62" s="28"/>
      <c r="E62" s="58"/>
      <c r="F62" s="3"/>
      <c r="G62" s="7"/>
      <c r="H62" s="52"/>
      <c r="I62" s="27"/>
      <c r="J62" s="28"/>
      <c r="K62" s="60"/>
      <c r="L62" s="51"/>
      <c r="M62" s="7"/>
      <c r="O62" s="7"/>
      <c r="Q62" s="7"/>
      <c r="S62" s="7"/>
      <c r="U62" s="7"/>
      <c r="W62" s="7"/>
    </row>
    <row r="63">
      <c r="A63" s="50"/>
      <c r="B63" s="35"/>
      <c r="C63" s="27"/>
      <c r="D63" s="28"/>
      <c r="E63" s="58"/>
      <c r="F63" s="3"/>
      <c r="G63" s="7"/>
      <c r="H63" s="52"/>
      <c r="I63" s="27"/>
      <c r="J63" s="28"/>
      <c r="K63" s="60"/>
      <c r="L63" s="51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7"/>
      <c r="D64" s="28"/>
      <c r="E64" s="45"/>
      <c r="F64" s="6">
        <f>SUM(F41:F63)</f>
        <v>860.7</v>
      </c>
      <c r="G64" s="7"/>
      <c r="H64" s="52"/>
      <c r="I64" s="27"/>
      <c r="J64" s="28"/>
      <c r="K64" s="60"/>
      <c r="L64" s="6">
        <f>SUM(L41:L55)</f>
        <v>116.33</v>
      </c>
      <c r="M64" s="7"/>
      <c r="O64" s="7"/>
      <c r="Q64" s="7"/>
      <c r="S64" s="7"/>
      <c r="U64" s="7"/>
      <c r="W64" s="7"/>
    </row>
    <row r="65">
      <c r="A65" s="50"/>
      <c r="B65" s="50"/>
      <c r="C65" s="7"/>
      <c r="F65" s="7"/>
      <c r="G65" s="7"/>
      <c r="I65" s="7"/>
      <c r="K65" s="62"/>
      <c r="L65" s="7"/>
      <c r="M65" s="7"/>
      <c r="O65" s="7"/>
      <c r="Q65" s="7"/>
      <c r="S65" s="7"/>
      <c r="U65" s="7"/>
      <c r="W65" s="7"/>
    </row>
    <row r="66">
      <c r="A66" s="25"/>
      <c r="B66" s="26" t="s">
        <v>24</v>
      </c>
      <c r="C66" s="27"/>
      <c r="D66" s="27"/>
      <c r="E66" s="27"/>
      <c r="F66" s="28"/>
      <c r="G66" s="7"/>
      <c r="H66" s="26" t="s">
        <v>19</v>
      </c>
      <c r="I66" s="27"/>
      <c r="J66" s="27"/>
      <c r="K66" s="27"/>
      <c r="L66" s="28"/>
      <c r="M66" s="7"/>
      <c r="O66" s="7"/>
      <c r="Q66" s="7"/>
      <c r="S66" s="7"/>
      <c r="U66" s="7"/>
      <c r="W66" s="7"/>
    </row>
    <row r="67">
      <c r="A67" s="25"/>
      <c r="B67" s="26" t="s">
        <v>33</v>
      </c>
      <c r="C67" s="27"/>
      <c r="D67" s="28"/>
      <c r="E67" s="30" t="s">
        <v>34</v>
      </c>
      <c r="F67" s="31" t="s">
        <v>35</v>
      </c>
      <c r="G67" s="7"/>
      <c r="H67" s="26" t="s">
        <v>33</v>
      </c>
      <c r="I67" s="27"/>
      <c r="J67" s="28"/>
      <c r="K67" s="34" t="s">
        <v>34</v>
      </c>
      <c r="L67" s="31" t="s">
        <v>35</v>
      </c>
      <c r="M67" s="7"/>
      <c r="O67" s="7"/>
      <c r="Q67" s="7"/>
      <c r="S67" s="7"/>
      <c r="U67" s="7"/>
      <c r="W67" s="7"/>
    </row>
    <row r="68">
      <c r="A68" s="2"/>
      <c r="B68" s="35" t="s">
        <v>82</v>
      </c>
      <c r="C68" s="27"/>
      <c r="D68" s="28"/>
      <c r="E68" s="48">
        <v>43715.0</v>
      </c>
      <c r="F68" s="49">
        <v>20.0</v>
      </c>
      <c r="G68" s="7"/>
      <c r="H68" s="35" t="s">
        <v>122</v>
      </c>
      <c r="I68" s="27"/>
      <c r="J68" s="28"/>
      <c r="K68" s="59">
        <v>43721.0</v>
      </c>
      <c r="L68" s="3">
        <v>50.0</v>
      </c>
      <c r="M68" s="7"/>
      <c r="O68" s="7"/>
      <c r="Q68" s="7"/>
      <c r="S68" s="7"/>
      <c r="U68" s="7"/>
      <c r="W68" s="7"/>
    </row>
    <row r="69">
      <c r="A69" s="50"/>
      <c r="B69" s="35"/>
      <c r="C69" s="27"/>
      <c r="D69" s="28"/>
      <c r="E69" s="36"/>
      <c r="F69" s="3"/>
      <c r="G69" s="7"/>
      <c r="H69" s="35"/>
      <c r="I69" s="27"/>
      <c r="J69" s="28"/>
      <c r="K69" s="59"/>
      <c r="L69" s="3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45"/>
      <c r="F70" s="6"/>
      <c r="G70" s="7"/>
      <c r="H70" s="35"/>
      <c r="I70" s="27"/>
      <c r="J70" s="28"/>
      <c r="K70" s="59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45"/>
      <c r="F71" s="6"/>
      <c r="G71" s="7"/>
      <c r="H71" s="35"/>
      <c r="I71" s="27"/>
      <c r="J71" s="28"/>
      <c r="K71" s="59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45"/>
      <c r="F72" s="6"/>
      <c r="G72" s="7"/>
      <c r="H72" s="53"/>
      <c r="I72" s="27"/>
      <c r="J72" s="28"/>
      <c r="K72" s="60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45"/>
      <c r="F73" s="6"/>
      <c r="G73" s="7"/>
      <c r="H73" s="53"/>
      <c r="I73" s="27"/>
      <c r="J73" s="28"/>
      <c r="K73" s="60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45"/>
      <c r="F74" s="6"/>
      <c r="G74" s="7"/>
      <c r="H74" s="53"/>
      <c r="I74" s="27"/>
      <c r="J74" s="28"/>
      <c r="K74" s="60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7"/>
      <c r="D75" s="28"/>
      <c r="E75" s="45"/>
      <c r="F75" s="6">
        <f>SUM(F68:F74)</f>
        <v>20</v>
      </c>
      <c r="G75" s="7"/>
      <c r="H75" s="35" t="s">
        <v>17</v>
      </c>
      <c r="I75" s="27"/>
      <c r="J75" s="28"/>
      <c r="K75" s="60"/>
      <c r="L75" s="6">
        <f>SUM(L68:L74)</f>
        <v>50</v>
      </c>
      <c r="M75" s="7"/>
      <c r="O75" s="7"/>
      <c r="Q75" s="7"/>
      <c r="S75" s="7"/>
      <c r="U75" s="7"/>
      <c r="W75" s="7"/>
    </row>
    <row r="76">
      <c r="F76" s="7"/>
      <c r="G76" s="7"/>
      <c r="I76" s="7"/>
      <c r="K76" s="62"/>
      <c r="L76" s="7"/>
      <c r="M76" s="7"/>
      <c r="O76" s="7"/>
      <c r="Q76" s="7"/>
      <c r="S76" s="7"/>
      <c r="U76" s="7"/>
      <c r="W76" s="7"/>
    </row>
    <row r="77">
      <c r="A77" s="25"/>
      <c r="B77" s="26" t="s">
        <v>21</v>
      </c>
      <c r="C77" s="27"/>
      <c r="D77" s="27"/>
      <c r="E77" s="27"/>
      <c r="F77" s="28"/>
      <c r="G77" s="7"/>
      <c r="H77" s="26" t="s">
        <v>20</v>
      </c>
      <c r="I77" s="27"/>
      <c r="J77" s="27"/>
      <c r="K77" s="27"/>
      <c r="L77" s="28"/>
      <c r="M77" s="7"/>
      <c r="O77" s="7"/>
      <c r="Q77" s="7"/>
      <c r="S77" s="7"/>
      <c r="U77" s="7"/>
      <c r="W77" s="7"/>
    </row>
    <row r="78">
      <c r="A78" s="25"/>
      <c r="B78" s="26" t="s">
        <v>33</v>
      </c>
      <c r="C78" s="27"/>
      <c r="D78" s="28"/>
      <c r="E78" s="30" t="s">
        <v>34</v>
      </c>
      <c r="F78" s="31" t="s">
        <v>35</v>
      </c>
      <c r="G78" s="7"/>
      <c r="H78" s="26" t="s">
        <v>33</v>
      </c>
      <c r="I78" s="27"/>
      <c r="J78" s="28"/>
      <c r="K78" s="34" t="s">
        <v>34</v>
      </c>
      <c r="L78" s="31" t="s">
        <v>35</v>
      </c>
      <c r="M78" s="7"/>
      <c r="O78" s="7"/>
      <c r="Q78" s="7"/>
      <c r="S78" s="7"/>
      <c r="U78" s="7"/>
      <c r="W78" s="7"/>
    </row>
    <row r="79">
      <c r="A79" s="2"/>
      <c r="B79" s="35" t="s">
        <v>164</v>
      </c>
      <c r="C79" s="27"/>
      <c r="D79" s="28"/>
      <c r="E79" s="48">
        <v>43713.0</v>
      </c>
      <c r="F79" s="3">
        <f>(41.86/3)+13.95</f>
        <v>27.90333333</v>
      </c>
      <c r="G79" s="7"/>
      <c r="H79" s="35" t="s">
        <v>125</v>
      </c>
      <c r="I79" s="27"/>
      <c r="J79" s="28"/>
      <c r="K79" s="59">
        <v>43713.0</v>
      </c>
      <c r="L79" s="3">
        <f>(182.54/3)+60.85</f>
        <v>121.6966667</v>
      </c>
      <c r="M79" s="7"/>
      <c r="O79" s="7"/>
      <c r="Q79" s="7"/>
      <c r="S79" s="7"/>
      <c r="U79" s="7"/>
      <c r="W79" s="7"/>
    </row>
    <row r="80">
      <c r="A80" s="50"/>
      <c r="B80" s="53"/>
      <c r="C80" s="27"/>
      <c r="D80" s="28"/>
      <c r="E80" s="45"/>
      <c r="F80" s="6"/>
      <c r="G80" s="7"/>
      <c r="H80" s="53"/>
      <c r="I80" s="27"/>
      <c r="J80" s="28"/>
      <c r="K80" s="60"/>
      <c r="L80" s="6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45"/>
      <c r="F81" s="6"/>
      <c r="G81" s="7"/>
      <c r="H81" s="53"/>
      <c r="I81" s="27"/>
      <c r="J81" s="28"/>
      <c r="K81" s="60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45"/>
      <c r="F82" s="6"/>
      <c r="G82" s="7"/>
      <c r="H82" s="53"/>
      <c r="I82" s="27"/>
      <c r="J82" s="28"/>
      <c r="K82" s="60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45"/>
      <c r="F83" s="6"/>
      <c r="G83" s="7"/>
      <c r="H83" s="53"/>
      <c r="I83" s="27"/>
      <c r="J83" s="28"/>
      <c r="K83" s="60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45"/>
      <c r="F84" s="6"/>
      <c r="G84" s="7"/>
      <c r="H84" s="53"/>
      <c r="I84" s="27"/>
      <c r="J84" s="28"/>
      <c r="K84" s="60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45"/>
      <c r="F85" s="6"/>
      <c r="G85" s="7"/>
      <c r="H85" s="53"/>
      <c r="I85" s="27"/>
      <c r="J85" s="28"/>
      <c r="K85" s="60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7"/>
      <c r="D86" s="28"/>
      <c r="E86" s="45"/>
      <c r="F86" s="6">
        <f>SUM(F79:F85)</f>
        <v>27.90333333</v>
      </c>
      <c r="G86" s="7"/>
      <c r="H86" s="35" t="s">
        <v>17</v>
      </c>
      <c r="I86" s="27"/>
      <c r="J86" s="28"/>
      <c r="K86" s="60"/>
      <c r="L86" s="6">
        <f>SUM(L79:L85)</f>
        <v>121.6966667</v>
      </c>
      <c r="M86" s="7"/>
      <c r="O86" s="7"/>
      <c r="Q86" s="7"/>
      <c r="S86" s="7"/>
      <c r="U86" s="7"/>
      <c r="W86" s="7"/>
    </row>
    <row r="87">
      <c r="F87" s="7"/>
      <c r="G87" s="7"/>
      <c r="I87" s="7"/>
      <c r="K87" s="62"/>
      <c r="L87" s="7"/>
      <c r="M87" s="7"/>
      <c r="O87" s="7"/>
      <c r="Q87" s="7"/>
      <c r="S87" s="7"/>
      <c r="U87" s="7"/>
      <c r="W87" s="7"/>
    </row>
    <row r="88">
      <c r="A88" s="25"/>
      <c r="B88" s="26" t="s">
        <v>22</v>
      </c>
      <c r="C88" s="27"/>
      <c r="D88" s="27"/>
      <c r="E88" s="27"/>
      <c r="F88" s="28"/>
      <c r="G88" s="7"/>
      <c r="H88" s="26" t="s">
        <v>248</v>
      </c>
      <c r="I88" s="27"/>
      <c r="J88" s="27"/>
      <c r="K88" s="27"/>
      <c r="L88" s="28"/>
      <c r="M88" s="7"/>
      <c r="O88" s="7"/>
      <c r="Q88" s="7"/>
      <c r="S88" s="7"/>
      <c r="U88" s="7"/>
      <c r="W88" s="7"/>
    </row>
    <row r="89">
      <c r="A89" s="25"/>
      <c r="B89" s="26" t="s">
        <v>33</v>
      </c>
      <c r="C89" s="27"/>
      <c r="D89" s="28"/>
      <c r="E89" s="30" t="s">
        <v>34</v>
      </c>
      <c r="F89" s="31" t="s">
        <v>35</v>
      </c>
      <c r="G89" s="7"/>
      <c r="H89" s="26" t="s">
        <v>33</v>
      </c>
      <c r="I89" s="27"/>
      <c r="J89" s="28"/>
      <c r="K89" s="34" t="s">
        <v>34</v>
      </c>
      <c r="L89" s="31" t="s">
        <v>35</v>
      </c>
      <c r="M89" s="7"/>
      <c r="O89" s="7"/>
      <c r="Q89" s="7"/>
      <c r="S89" s="7"/>
      <c r="U89" s="7"/>
      <c r="W89" s="7"/>
    </row>
    <row r="90">
      <c r="A90" s="2"/>
      <c r="B90" s="35"/>
      <c r="C90" s="27"/>
      <c r="D90" s="28"/>
      <c r="E90" s="36"/>
      <c r="F90" s="3"/>
      <c r="G90" s="7"/>
      <c r="H90" s="35"/>
      <c r="I90" s="27"/>
      <c r="J90" s="28"/>
      <c r="K90" s="59"/>
      <c r="L90" s="3"/>
      <c r="M90" s="7"/>
      <c r="O90" s="7"/>
      <c r="Q90" s="7"/>
      <c r="S90" s="7"/>
      <c r="U90" s="7"/>
      <c r="W90" s="7"/>
    </row>
    <row r="91">
      <c r="A91" s="50"/>
      <c r="B91" s="53"/>
      <c r="C91" s="27"/>
      <c r="D91" s="28"/>
      <c r="E91" s="45"/>
      <c r="F91" s="6"/>
      <c r="G91" s="7"/>
      <c r="H91" s="35"/>
      <c r="I91" s="27"/>
      <c r="J91" s="28"/>
      <c r="K91" s="59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45"/>
      <c r="F92" s="6"/>
      <c r="G92" s="7"/>
      <c r="H92" s="35"/>
      <c r="I92" s="27"/>
      <c r="J92" s="28"/>
      <c r="K92" s="59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45"/>
      <c r="F93" s="6"/>
      <c r="G93" s="7"/>
      <c r="H93" s="35"/>
      <c r="I93" s="27"/>
      <c r="J93" s="28"/>
      <c r="K93" s="59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45"/>
      <c r="F94" s="6"/>
      <c r="G94" s="7"/>
      <c r="H94" s="35"/>
      <c r="I94" s="27"/>
      <c r="J94" s="28"/>
      <c r="K94" s="59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45"/>
      <c r="F95" s="6"/>
      <c r="G95" s="7"/>
      <c r="H95" s="35"/>
      <c r="I95" s="27"/>
      <c r="J95" s="28"/>
      <c r="K95" s="59"/>
      <c r="L95" s="3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45"/>
      <c r="F96" s="6"/>
      <c r="G96" s="7"/>
      <c r="H96" s="35"/>
      <c r="I96" s="27"/>
      <c r="J96" s="28"/>
      <c r="K96" s="59"/>
      <c r="L96" s="6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45"/>
      <c r="F97" s="6"/>
      <c r="G97" s="7"/>
      <c r="H97" s="35"/>
      <c r="I97" s="27"/>
      <c r="J97" s="28"/>
      <c r="K97" s="59"/>
      <c r="L97" s="3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45"/>
      <c r="F98" s="6"/>
      <c r="G98" s="7"/>
      <c r="H98" s="35"/>
      <c r="I98" s="27"/>
      <c r="J98" s="28"/>
      <c r="K98" s="59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45"/>
      <c r="F99" s="6"/>
      <c r="G99" s="7"/>
      <c r="H99" s="35"/>
      <c r="I99" s="27"/>
      <c r="J99" s="28"/>
      <c r="K99" s="59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45"/>
      <c r="F100" s="6"/>
      <c r="G100" s="7"/>
      <c r="H100" s="35"/>
      <c r="I100" s="27"/>
      <c r="J100" s="28"/>
      <c r="K100" s="59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45"/>
      <c r="F101" s="6"/>
      <c r="G101" s="7"/>
      <c r="H101" s="35"/>
      <c r="I101" s="27"/>
      <c r="J101" s="28"/>
      <c r="K101" s="59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45"/>
      <c r="F102" s="6"/>
      <c r="G102" s="7"/>
      <c r="H102" s="35"/>
      <c r="I102" s="27"/>
      <c r="J102" s="28"/>
      <c r="K102" s="59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45"/>
      <c r="F103" s="6"/>
      <c r="G103" s="7"/>
      <c r="H103" s="35"/>
      <c r="I103" s="27"/>
      <c r="J103" s="28"/>
      <c r="K103" s="59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45"/>
      <c r="F104" s="6"/>
      <c r="G104" s="7"/>
      <c r="H104" s="35"/>
      <c r="I104" s="27"/>
      <c r="J104" s="28"/>
      <c r="K104" s="59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45"/>
      <c r="F105" s="6"/>
      <c r="G105" s="7"/>
      <c r="H105" s="35"/>
      <c r="I105" s="27"/>
      <c r="J105" s="28"/>
      <c r="K105" s="59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45"/>
      <c r="F106" s="6"/>
      <c r="G106" s="7"/>
      <c r="H106" s="35"/>
      <c r="I106" s="27"/>
      <c r="J106" s="28"/>
      <c r="K106" s="59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45"/>
      <c r="F107" s="6"/>
      <c r="G107" s="7"/>
      <c r="H107" s="35"/>
      <c r="I107" s="27"/>
      <c r="J107" s="28"/>
      <c r="K107" s="59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45"/>
      <c r="F108" s="6"/>
      <c r="G108" s="7"/>
      <c r="H108" s="35"/>
      <c r="I108" s="27"/>
      <c r="J108" s="28"/>
      <c r="K108" s="59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45"/>
      <c r="F109" s="6"/>
      <c r="G109" s="7"/>
      <c r="H109" s="35"/>
      <c r="I109" s="27"/>
      <c r="J109" s="28"/>
      <c r="K109" s="59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45"/>
      <c r="F110" s="6"/>
      <c r="G110" s="7"/>
      <c r="H110" s="35"/>
      <c r="I110" s="27"/>
      <c r="J110" s="28"/>
      <c r="K110" s="59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45"/>
      <c r="F111" s="6"/>
      <c r="G111" s="7"/>
      <c r="H111" s="35"/>
      <c r="I111" s="27"/>
      <c r="J111" s="28"/>
      <c r="K111" s="59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45"/>
      <c r="F112" s="6"/>
      <c r="G112" s="7"/>
      <c r="H112" s="35"/>
      <c r="I112" s="27"/>
      <c r="J112" s="28"/>
      <c r="K112" s="59"/>
      <c r="L112" s="3"/>
      <c r="M112" s="7"/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45"/>
      <c r="F113" s="6"/>
      <c r="G113" s="7"/>
      <c r="H113" s="35"/>
      <c r="I113" s="27"/>
      <c r="J113" s="28"/>
      <c r="K113" s="59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45"/>
      <c r="F114" s="6"/>
      <c r="G114" s="7"/>
      <c r="H114" s="35"/>
      <c r="I114" s="27"/>
      <c r="J114" s="28"/>
      <c r="K114" s="59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45"/>
      <c r="F115" s="6"/>
      <c r="G115" s="7"/>
      <c r="H115" s="35"/>
      <c r="I115" s="27"/>
      <c r="J115" s="28"/>
      <c r="K115" s="59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45"/>
      <c r="F116" s="6"/>
      <c r="G116" s="7"/>
      <c r="H116" s="35"/>
      <c r="I116" s="27"/>
      <c r="J116" s="28"/>
      <c r="K116" s="59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45"/>
      <c r="F117" s="6"/>
      <c r="G117" s="7"/>
      <c r="H117" s="35"/>
      <c r="I117" s="27"/>
      <c r="J117" s="28"/>
      <c r="K117" s="59"/>
      <c r="L117" s="3"/>
      <c r="M117" s="7"/>
      <c r="O117" s="7"/>
      <c r="Q117" s="7"/>
      <c r="S117" s="7"/>
      <c r="U117" s="7"/>
      <c r="W117" s="7"/>
    </row>
    <row r="118">
      <c r="A118" s="50"/>
      <c r="B118" s="53"/>
      <c r="C118" s="27"/>
      <c r="D118" s="28"/>
      <c r="E118" s="45"/>
      <c r="F118" s="6"/>
      <c r="G118" s="7"/>
      <c r="H118" s="35"/>
      <c r="I118" s="27"/>
      <c r="J118" s="28"/>
      <c r="K118" s="59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7"/>
      <c r="D119" s="28"/>
      <c r="E119" s="45"/>
      <c r="F119" s="6">
        <f>SUM(F90:F96)</f>
        <v>0</v>
      </c>
      <c r="G119" s="7"/>
      <c r="H119" s="35" t="s">
        <v>17</v>
      </c>
      <c r="I119" s="27"/>
      <c r="J119" s="28"/>
      <c r="K119" s="60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62"/>
      <c r="L120" s="7"/>
      <c r="M120" s="7"/>
      <c r="O120" s="7"/>
      <c r="Q120" s="7"/>
      <c r="S120" s="7"/>
      <c r="U120" s="7"/>
      <c r="W120" s="7"/>
    </row>
    <row r="121">
      <c r="B121" s="26" t="s">
        <v>28</v>
      </c>
      <c r="C121" s="27"/>
      <c r="D121" s="27"/>
      <c r="E121" s="27"/>
      <c r="F121" s="28"/>
      <c r="G121" s="7"/>
      <c r="I121" s="7"/>
      <c r="K121" s="62"/>
      <c r="L121" s="7"/>
      <c r="M121" s="7"/>
      <c r="O121" s="7"/>
      <c r="Q121" s="7"/>
      <c r="S121" s="7"/>
      <c r="U121" s="7"/>
      <c r="W121" s="7"/>
    </row>
    <row r="122">
      <c r="B122" s="26" t="s">
        <v>33</v>
      </c>
      <c r="C122" s="27"/>
      <c r="D122" s="28"/>
      <c r="E122" s="30" t="s">
        <v>34</v>
      </c>
      <c r="F122" s="31" t="s">
        <v>35</v>
      </c>
      <c r="G122" s="7"/>
      <c r="I122" s="7"/>
      <c r="K122" s="62"/>
      <c r="L122" s="7"/>
      <c r="M122" s="7"/>
      <c r="O122" s="7"/>
      <c r="Q122" s="7"/>
      <c r="S122" s="7"/>
      <c r="U122" s="7"/>
      <c r="W122" s="7"/>
    </row>
    <row r="123">
      <c r="B123" s="26" t="s">
        <v>86</v>
      </c>
      <c r="C123" s="27"/>
      <c r="D123" s="28"/>
      <c r="E123" s="63">
        <v>43711.0</v>
      </c>
      <c r="F123" s="31">
        <v>43.04</v>
      </c>
      <c r="G123" s="7"/>
      <c r="I123" s="7"/>
      <c r="K123" s="62"/>
      <c r="L123" s="7"/>
      <c r="M123" s="7"/>
      <c r="O123" s="7"/>
      <c r="Q123" s="7"/>
      <c r="S123" s="7"/>
      <c r="U123" s="7"/>
      <c r="W123" s="7"/>
    </row>
    <row r="124">
      <c r="B124" s="26" t="s">
        <v>128</v>
      </c>
      <c r="C124" s="27"/>
      <c r="D124" s="28"/>
      <c r="E124" s="64">
        <v>43720.0</v>
      </c>
      <c r="F124" s="31">
        <v>22.0</v>
      </c>
      <c r="G124" s="7"/>
      <c r="I124" s="7"/>
      <c r="K124" s="62"/>
      <c r="L124" s="7"/>
      <c r="M124" s="7"/>
      <c r="O124" s="7"/>
      <c r="Q124" s="7"/>
      <c r="S124" s="7"/>
      <c r="U124" s="7"/>
      <c r="W124" s="7"/>
    </row>
    <row r="125">
      <c r="B125" s="26" t="s">
        <v>86</v>
      </c>
      <c r="C125" s="27"/>
      <c r="D125" s="28"/>
      <c r="E125" s="63">
        <v>43720.0</v>
      </c>
      <c r="F125" s="31">
        <v>10.0</v>
      </c>
      <c r="G125" s="7"/>
      <c r="I125" s="7"/>
      <c r="K125" s="62"/>
      <c r="L125" s="7"/>
      <c r="M125" s="7"/>
      <c r="O125" s="7"/>
      <c r="Q125" s="7"/>
      <c r="S125" s="7"/>
      <c r="U125" s="7"/>
      <c r="W125" s="7"/>
    </row>
    <row r="126">
      <c r="B126" s="26" t="s">
        <v>86</v>
      </c>
      <c r="C126" s="27"/>
      <c r="D126" s="28"/>
      <c r="E126" s="38">
        <v>43723.0</v>
      </c>
      <c r="F126" s="31">
        <v>20.0</v>
      </c>
      <c r="G126" s="7"/>
      <c r="I126" s="7"/>
      <c r="K126" s="62"/>
      <c r="L126" s="7"/>
      <c r="M126" s="7"/>
      <c r="O126" s="7"/>
      <c r="Q126" s="7"/>
      <c r="S126" s="7"/>
      <c r="U126" s="7"/>
      <c r="W126" s="7"/>
    </row>
    <row r="127">
      <c r="B127" s="26" t="s">
        <v>86</v>
      </c>
      <c r="C127" s="27"/>
      <c r="D127" s="28"/>
      <c r="E127" s="63">
        <v>43729.0</v>
      </c>
      <c r="F127" s="31">
        <v>20.0</v>
      </c>
      <c r="G127" s="7"/>
      <c r="I127" s="7"/>
      <c r="K127" s="62"/>
      <c r="L127" s="7"/>
      <c r="M127" s="7"/>
      <c r="O127" s="7"/>
      <c r="Q127" s="7"/>
      <c r="S127" s="7"/>
      <c r="U127" s="7"/>
      <c r="W127" s="7"/>
    </row>
    <row r="128">
      <c r="B128" s="26"/>
      <c r="C128" s="27"/>
      <c r="D128" s="28"/>
      <c r="E128" s="63"/>
      <c r="F128" s="31"/>
      <c r="G128" s="7"/>
      <c r="I128" s="7"/>
      <c r="K128" s="62"/>
      <c r="L128" s="7"/>
      <c r="M128" s="7"/>
      <c r="O128" s="7"/>
      <c r="Q128" s="7"/>
      <c r="S128" s="7"/>
      <c r="U128" s="7"/>
      <c r="W128" s="7"/>
    </row>
    <row r="129">
      <c r="B129" s="26"/>
      <c r="C129" s="27"/>
      <c r="D129" s="28"/>
      <c r="E129" s="63"/>
      <c r="F129" s="31"/>
      <c r="G129" s="7"/>
      <c r="I129" s="7"/>
      <c r="K129" s="62"/>
      <c r="L129" s="7"/>
      <c r="M129" s="7"/>
      <c r="O129" s="7"/>
      <c r="Q129" s="7"/>
      <c r="S129" s="7"/>
      <c r="U129" s="7"/>
      <c r="W129" s="7"/>
    </row>
    <row r="130">
      <c r="B130" s="26"/>
      <c r="C130" s="27"/>
      <c r="D130" s="28"/>
      <c r="E130" s="63"/>
      <c r="F130" s="31"/>
      <c r="G130" s="7"/>
      <c r="I130" s="7"/>
      <c r="K130" s="62"/>
      <c r="L130" s="7"/>
      <c r="M130" s="7"/>
      <c r="O130" s="7"/>
      <c r="Q130" s="7"/>
      <c r="S130" s="7"/>
      <c r="U130" s="7"/>
      <c r="W130" s="7"/>
    </row>
    <row r="131">
      <c r="B131" s="26"/>
      <c r="C131" s="27"/>
      <c r="D131" s="28"/>
      <c r="E131" s="63"/>
      <c r="F131" s="31"/>
      <c r="G131" s="7"/>
      <c r="I131" s="7"/>
      <c r="K131" s="62"/>
      <c r="L131" s="7"/>
      <c r="M131" s="7"/>
      <c r="O131" s="7"/>
      <c r="Q131" s="7"/>
      <c r="S131" s="7"/>
      <c r="U131" s="7"/>
      <c r="W131" s="7"/>
    </row>
    <row r="132">
      <c r="B132" s="26"/>
      <c r="C132" s="27"/>
      <c r="D132" s="28"/>
      <c r="E132" s="63"/>
      <c r="F132" s="31"/>
      <c r="G132" s="7"/>
      <c r="I132" s="7"/>
      <c r="K132" s="62"/>
      <c r="L132" s="7"/>
      <c r="M132" s="7"/>
      <c r="O132" s="7"/>
      <c r="Q132" s="7"/>
      <c r="S132" s="7"/>
      <c r="U132" s="7"/>
      <c r="W132" s="7"/>
    </row>
    <row r="133">
      <c r="B133" s="26"/>
      <c r="C133" s="27"/>
      <c r="D133" s="28"/>
      <c r="E133" s="63"/>
      <c r="F133" s="31"/>
      <c r="G133" s="7"/>
      <c r="I133" s="7"/>
      <c r="K133" s="62"/>
      <c r="L133" s="7"/>
      <c r="M133" s="7"/>
      <c r="O133" s="7"/>
      <c r="Q133" s="7"/>
      <c r="S133" s="7"/>
      <c r="U133" s="7"/>
      <c r="W133" s="7"/>
    </row>
    <row r="134">
      <c r="B134" s="26"/>
      <c r="C134" s="27"/>
      <c r="D134" s="28"/>
      <c r="E134" s="63"/>
      <c r="F134" s="31"/>
      <c r="G134" s="7"/>
      <c r="I134" s="7"/>
      <c r="K134" s="62"/>
      <c r="L134" s="7"/>
      <c r="M134" s="7"/>
      <c r="O134" s="7"/>
      <c r="Q134" s="7"/>
      <c r="S134" s="7"/>
      <c r="U134" s="7"/>
      <c r="W134" s="7"/>
    </row>
    <row r="135">
      <c r="B135" s="26"/>
      <c r="C135" s="27"/>
      <c r="D135" s="28"/>
      <c r="E135" s="63"/>
      <c r="F135" s="31"/>
      <c r="G135" s="7"/>
      <c r="I135" s="7"/>
      <c r="K135" s="62"/>
      <c r="L135" s="7"/>
      <c r="M135" s="7"/>
      <c r="O135" s="7"/>
      <c r="Q135" s="7"/>
      <c r="S135" s="7"/>
      <c r="U135" s="7"/>
      <c r="W135" s="7"/>
    </row>
    <row r="136">
      <c r="B136" s="26"/>
      <c r="C136" s="27"/>
      <c r="D136" s="28"/>
      <c r="E136" s="63"/>
      <c r="F136" s="31"/>
      <c r="G136" s="7"/>
      <c r="I136" s="7"/>
      <c r="K136" s="62"/>
      <c r="L136" s="7"/>
      <c r="M136" s="7"/>
      <c r="O136" s="7"/>
      <c r="Q136" s="7"/>
      <c r="S136" s="7"/>
      <c r="U136" s="7"/>
      <c r="W136" s="7"/>
    </row>
    <row r="137">
      <c r="B137" s="26"/>
      <c r="C137" s="27"/>
      <c r="D137" s="28"/>
      <c r="E137" s="63"/>
      <c r="F137" s="31"/>
      <c r="G137" s="7"/>
      <c r="I137" s="7"/>
      <c r="K137" s="62"/>
      <c r="L137" s="7"/>
      <c r="M137" s="7"/>
      <c r="O137" s="7"/>
      <c r="Q137" s="7"/>
      <c r="S137" s="7"/>
      <c r="U137" s="7"/>
      <c r="W137" s="7"/>
    </row>
    <row r="138">
      <c r="B138" s="26"/>
      <c r="C138" s="27"/>
      <c r="D138" s="28"/>
      <c r="E138" s="63"/>
      <c r="F138" s="31"/>
      <c r="G138" s="7"/>
      <c r="I138" s="7"/>
      <c r="K138" s="62"/>
      <c r="L138" s="7"/>
      <c r="M138" s="7"/>
      <c r="O138" s="7"/>
      <c r="Q138" s="7"/>
      <c r="S138" s="7"/>
      <c r="U138" s="7"/>
      <c r="W138" s="7"/>
    </row>
    <row r="139">
      <c r="B139" s="43" t="s">
        <v>17</v>
      </c>
      <c r="C139" s="27"/>
      <c r="D139" s="27"/>
      <c r="E139" s="28"/>
      <c r="F139" s="31">
        <f>SUM(F123:F138)</f>
        <v>115.04</v>
      </c>
      <c r="G139" s="7"/>
      <c r="I139" s="7"/>
      <c r="K139" s="62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62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62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62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62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62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62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62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62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62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62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62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62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62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62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62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62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62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62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62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62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62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62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62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62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62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62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62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62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62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62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62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62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62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62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62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62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62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62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62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62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62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62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62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62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62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62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62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62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62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62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62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62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62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62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62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62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62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62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62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62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62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62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62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62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62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62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62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62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62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62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62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62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62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62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62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62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62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62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62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62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62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62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62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62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62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62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62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62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62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62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62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62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62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62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62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62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62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62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62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62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62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62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62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62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62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62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62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62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62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62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62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62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62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62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62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62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62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62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62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62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62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62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62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62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62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62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62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62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62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62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62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62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62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62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62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62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62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62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62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62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62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62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62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62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62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62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62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62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62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62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62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62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62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62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62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62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62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62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62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62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62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62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62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62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62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62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62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62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62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62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62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62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62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62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62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62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62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62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62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62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62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62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62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62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62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62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62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62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62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62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62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62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62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62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62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62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62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62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62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62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62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62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62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62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62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62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62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62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62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62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62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62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62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62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62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62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62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62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62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62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62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62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62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62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62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62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62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62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62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62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62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62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62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62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62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62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62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62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62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62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62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62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62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62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62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62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62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62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62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62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62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62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62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62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62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62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62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62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62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62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62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62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62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62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62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62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62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62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62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62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62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62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62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62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62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62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62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62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62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62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62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62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62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62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62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62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62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62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62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62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62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62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62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62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62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62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62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62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62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62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62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62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62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62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62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62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62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62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62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62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62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62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62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62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62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62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62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62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62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62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62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62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62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62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62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62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62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62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62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62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62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62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62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62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62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62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62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62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62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62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62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62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62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62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62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62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62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62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62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62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62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62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62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62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62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62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62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62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62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62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62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62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62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62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62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62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62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62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62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62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62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62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62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62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62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62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62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62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62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62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62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62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62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62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62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62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62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62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62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62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62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62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62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62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62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62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62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62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62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62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62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62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62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62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62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62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62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62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62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62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62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62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62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62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62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62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62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62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62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62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62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62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62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62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62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62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62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62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62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62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62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62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62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62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62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62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62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62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62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62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62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62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62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62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62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62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62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62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62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62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62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62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62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62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62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62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62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62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62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62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62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62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62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62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62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62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62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62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62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62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62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62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62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62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62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62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62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62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62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62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62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62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62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62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62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62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62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62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62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62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62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62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62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62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62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62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62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62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62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62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62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62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62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62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62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62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62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62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62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62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62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62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62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62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62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62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62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62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62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62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62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62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62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62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62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62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62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62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62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62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62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62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62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62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62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62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62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62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62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62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62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62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62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62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62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62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62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62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62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62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62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62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62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62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62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62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62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62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62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62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62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62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62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62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62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62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62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62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62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62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62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62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62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62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62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62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62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62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62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62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62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62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62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62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62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62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62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62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62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62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62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62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62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62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62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62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62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62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62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62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62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62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62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62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62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62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62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62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62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62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62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62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62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62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62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62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62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62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62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62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62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62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62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62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62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62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62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62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62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62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62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62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62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62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62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62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62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62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62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62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62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62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62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62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62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62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62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62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62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62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62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62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62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62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62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62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62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62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62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62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62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62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62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62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62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62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62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62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62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62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62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62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62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62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62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62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62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62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62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62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62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62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62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62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62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62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62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62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62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62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62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62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62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62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62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62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62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62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62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62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62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62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62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62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62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62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62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62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62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62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62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62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62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62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62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62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62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62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62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62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62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62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62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62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62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62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62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62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62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62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62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62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62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62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62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62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62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62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62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62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62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62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62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62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62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62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62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62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62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62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62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62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62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62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62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62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62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62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62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62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62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62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62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62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62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62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62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62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62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62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62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62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62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62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62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62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62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62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62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62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62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62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62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62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62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62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62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62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62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62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62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62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62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62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62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62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62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62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62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62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62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62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62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62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62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62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62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62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62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62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62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62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62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62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62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62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62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62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62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62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62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62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62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62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62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62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62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62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62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62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62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62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62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62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62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62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62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62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62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62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62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62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62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62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62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62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62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62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62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62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62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62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62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62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62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62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62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62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62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62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62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62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62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62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62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62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62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62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62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62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62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62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62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62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62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62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62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62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62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62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62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62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62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62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62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62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62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62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62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62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62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62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62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62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62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62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62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62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62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62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62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62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62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62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62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62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62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62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62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62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62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62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62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62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62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62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62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62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62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62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62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62"/>
      <c r="L1061" s="7"/>
      <c r="M1061" s="7"/>
      <c r="O1061" s="7"/>
      <c r="Q1061" s="7"/>
      <c r="S1061" s="7"/>
      <c r="U1061" s="7"/>
      <c r="W1061" s="7"/>
    </row>
    <row r="1062">
      <c r="F1062" s="7"/>
      <c r="G1062" s="7"/>
      <c r="I1062" s="7"/>
      <c r="K1062" s="62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371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0" t="s">
        <v>34</v>
      </c>
      <c r="F5" s="31" t="s">
        <v>35</v>
      </c>
      <c r="G5" s="32"/>
      <c r="H5" s="26" t="s">
        <v>33</v>
      </c>
      <c r="I5" s="27"/>
      <c r="J5" s="28"/>
      <c r="K5" s="34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/>
      <c r="C6" s="27"/>
      <c r="D6" s="28"/>
      <c r="E6" s="38"/>
      <c r="F6" s="31"/>
      <c r="G6" s="32"/>
      <c r="H6" s="35" t="s">
        <v>372</v>
      </c>
      <c r="I6" s="27"/>
      <c r="J6" s="28"/>
      <c r="K6" s="59">
        <v>43745.0</v>
      </c>
      <c r="L6" s="3">
        <v>2.0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64"/>
      <c r="F7" s="31"/>
      <c r="G7" s="37"/>
      <c r="H7" s="35" t="s">
        <v>39</v>
      </c>
      <c r="I7" s="27"/>
      <c r="J7" s="28"/>
      <c r="K7" s="58">
        <v>43746.0</v>
      </c>
      <c r="L7" s="3">
        <v>1.5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8"/>
      <c r="F8" s="31"/>
      <c r="G8" s="37"/>
      <c r="H8" s="35" t="s">
        <v>39</v>
      </c>
      <c r="I8" s="27"/>
      <c r="J8" s="28"/>
      <c r="K8" s="59">
        <v>43752.0</v>
      </c>
      <c r="L8" s="3">
        <v>1.5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8"/>
      <c r="F9" s="31"/>
      <c r="G9" s="37"/>
      <c r="H9" s="35" t="s">
        <v>373</v>
      </c>
      <c r="I9" s="27"/>
      <c r="J9" s="28"/>
      <c r="K9" s="59">
        <v>43752.0</v>
      </c>
      <c r="L9" s="3">
        <v>10.0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8"/>
      <c r="F10" s="31"/>
      <c r="G10" s="37"/>
      <c r="H10" s="35" t="s">
        <v>39</v>
      </c>
      <c r="I10" s="27"/>
      <c r="J10" s="28"/>
      <c r="K10" s="58">
        <v>43753.0</v>
      </c>
      <c r="L10" s="3">
        <v>1.5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8"/>
      <c r="F11" s="31"/>
      <c r="G11" s="37"/>
      <c r="H11" s="35" t="s">
        <v>39</v>
      </c>
      <c r="I11" s="27"/>
      <c r="J11" s="28"/>
      <c r="K11" s="58">
        <v>43754.0</v>
      </c>
      <c r="L11" s="3">
        <v>1.5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8"/>
      <c r="F12" s="40"/>
      <c r="G12" s="37"/>
      <c r="H12" s="35" t="s">
        <v>374</v>
      </c>
      <c r="I12" s="27"/>
      <c r="J12" s="28"/>
      <c r="K12" s="59">
        <v>43756.0</v>
      </c>
      <c r="L12" s="3">
        <f>2.19+4.59+2.19+1.19</f>
        <v>10.16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8"/>
      <c r="F13" s="40"/>
      <c r="G13" s="37"/>
      <c r="H13" s="35" t="s">
        <v>39</v>
      </c>
      <c r="I13" s="27"/>
      <c r="J13" s="28"/>
      <c r="K13" s="59">
        <v>43759.0</v>
      </c>
      <c r="L13" s="3">
        <v>1.5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8"/>
      <c r="F14" s="40"/>
      <c r="G14" s="37"/>
      <c r="H14" s="35" t="s">
        <v>375</v>
      </c>
      <c r="I14" s="27"/>
      <c r="J14" s="28"/>
      <c r="K14" s="59">
        <v>43758.0</v>
      </c>
      <c r="L14" s="3">
        <v>9.0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8"/>
      <c r="F15" s="40"/>
      <c r="G15" s="37"/>
      <c r="H15" s="35" t="s">
        <v>376</v>
      </c>
      <c r="I15" s="27"/>
      <c r="J15" s="28"/>
      <c r="K15" s="58">
        <v>43765.0</v>
      </c>
      <c r="L15" s="3">
        <v>10.0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8"/>
      <c r="F16" s="40"/>
      <c r="G16" s="37"/>
      <c r="H16" s="35" t="s">
        <v>39</v>
      </c>
      <c r="I16" s="27"/>
      <c r="J16" s="28"/>
      <c r="K16" s="58">
        <v>43766.0</v>
      </c>
      <c r="L16" s="3">
        <v>2.0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8"/>
      <c r="F17" s="40"/>
      <c r="G17" s="37"/>
      <c r="H17" s="35" t="s">
        <v>39</v>
      </c>
      <c r="I17" s="27"/>
      <c r="J17" s="28"/>
      <c r="K17" s="59">
        <v>43767.0</v>
      </c>
      <c r="L17" s="3">
        <v>1.5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8"/>
      <c r="F18" s="40"/>
      <c r="G18" s="37"/>
      <c r="H18" s="35" t="s">
        <v>39</v>
      </c>
      <c r="I18" s="27"/>
      <c r="J18" s="28"/>
      <c r="K18" s="58">
        <v>43769.0</v>
      </c>
      <c r="L18" s="3">
        <v>1.5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8"/>
      <c r="F19" s="40"/>
      <c r="G19" s="37"/>
      <c r="H19" s="35"/>
      <c r="I19" s="27"/>
      <c r="J19" s="28"/>
      <c r="K19" s="59"/>
      <c r="L19" s="3"/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8"/>
      <c r="F20" s="40"/>
      <c r="G20" s="37"/>
      <c r="H20" s="35"/>
      <c r="I20" s="27"/>
      <c r="J20" s="28"/>
      <c r="K20" s="59"/>
      <c r="L20" s="3"/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8"/>
      <c r="F21" s="40"/>
      <c r="G21" s="37"/>
      <c r="H21" s="43"/>
      <c r="I21" s="27"/>
      <c r="J21" s="28"/>
      <c r="K21" s="58"/>
      <c r="L21" s="3"/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8"/>
      <c r="F22" s="40"/>
      <c r="G22" s="37"/>
      <c r="H22" s="43"/>
      <c r="I22" s="27"/>
      <c r="J22" s="28"/>
      <c r="K22" s="58"/>
      <c r="L22" s="3"/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8"/>
      <c r="F23" s="40"/>
      <c r="G23" s="37"/>
      <c r="H23" s="43"/>
      <c r="I23" s="27"/>
      <c r="J23" s="28"/>
      <c r="K23" s="59"/>
      <c r="L23" s="3"/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8"/>
      <c r="F24" s="40"/>
      <c r="G24" s="37"/>
      <c r="H24" s="43"/>
      <c r="I24" s="27"/>
      <c r="J24" s="28"/>
      <c r="K24" s="58"/>
      <c r="L24" s="3"/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8"/>
      <c r="F25" s="40"/>
      <c r="G25" s="37"/>
      <c r="H25" s="43"/>
      <c r="I25" s="27"/>
      <c r="J25" s="28"/>
      <c r="K25" s="59"/>
      <c r="L25" s="3"/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8"/>
      <c r="F26" s="40"/>
      <c r="G26" s="37"/>
      <c r="H26" s="43"/>
      <c r="I26" s="27"/>
      <c r="J26" s="28"/>
      <c r="K26" s="4"/>
      <c r="L26" s="3"/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8"/>
      <c r="F27" s="40"/>
      <c r="G27" s="37"/>
      <c r="H27" s="43"/>
      <c r="I27" s="27"/>
      <c r="J27" s="28"/>
      <c r="K27" s="59"/>
      <c r="L27" s="3"/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8"/>
      <c r="F28" s="40"/>
      <c r="G28" s="37"/>
      <c r="H28" s="43"/>
      <c r="I28" s="27"/>
      <c r="J28" s="28"/>
      <c r="K28" s="58"/>
      <c r="L28" s="3"/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8"/>
      <c r="F29" s="40"/>
      <c r="G29" s="37"/>
      <c r="H29" s="43"/>
      <c r="I29" s="27"/>
      <c r="J29" s="28"/>
      <c r="K29" s="58"/>
      <c r="L29" s="3"/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8"/>
      <c r="F30" s="40"/>
      <c r="G30" s="37"/>
      <c r="H30" s="43"/>
      <c r="I30" s="27"/>
      <c r="J30" s="28"/>
      <c r="K30" s="58"/>
      <c r="L30" s="3"/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8"/>
      <c r="F31" s="40"/>
      <c r="G31" s="37"/>
      <c r="H31" s="43"/>
      <c r="I31" s="27"/>
      <c r="J31" s="28"/>
      <c r="K31" s="59"/>
      <c r="L31" s="3"/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8"/>
      <c r="F32" s="40"/>
      <c r="G32" s="37"/>
      <c r="H32" s="43"/>
      <c r="I32" s="27"/>
      <c r="J32" s="28"/>
      <c r="K32" s="59"/>
      <c r="L32" s="3"/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8"/>
      <c r="F33" s="40"/>
      <c r="G33" s="37"/>
      <c r="H33" s="43"/>
      <c r="I33" s="27"/>
      <c r="J33" s="28"/>
      <c r="K33" s="59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8"/>
      <c r="F34" s="40"/>
      <c r="G34" s="37"/>
      <c r="H34" s="43"/>
      <c r="I34" s="27"/>
      <c r="J34" s="28"/>
      <c r="K34" s="59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8"/>
      <c r="F35" s="40"/>
      <c r="G35" s="37"/>
      <c r="H35" s="43"/>
      <c r="I35" s="27"/>
      <c r="J35" s="28"/>
      <c r="K35" s="59"/>
      <c r="L35" s="3"/>
      <c r="M35" s="7"/>
      <c r="N35" s="41"/>
      <c r="O35" s="42"/>
      <c r="Q35" s="7"/>
      <c r="S35" s="7"/>
      <c r="U35" s="7"/>
      <c r="W35" s="7"/>
    </row>
    <row r="36">
      <c r="A36" s="33"/>
      <c r="B36" s="39"/>
      <c r="C36" s="27"/>
      <c r="D36" s="28"/>
      <c r="E36" s="38"/>
      <c r="F36" s="40"/>
      <c r="G36" s="37"/>
      <c r="H36" s="43"/>
      <c r="I36" s="27"/>
      <c r="J36" s="28"/>
      <c r="K36" s="59"/>
      <c r="L36" s="3"/>
      <c r="M36" s="7"/>
      <c r="N36" s="41"/>
      <c r="O36" s="42"/>
      <c r="Q36" s="7"/>
      <c r="S36" s="7"/>
      <c r="U36" s="7"/>
      <c r="W36" s="7"/>
    </row>
    <row r="37">
      <c r="A37" s="2"/>
      <c r="B37" s="35" t="s">
        <v>17</v>
      </c>
      <c r="C37" s="27"/>
      <c r="D37" s="28"/>
      <c r="E37" s="65"/>
      <c r="F37" s="6">
        <f>SUM(F6:F12)</f>
        <v>0</v>
      </c>
      <c r="G37" s="7"/>
      <c r="H37" s="35" t="s">
        <v>17</v>
      </c>
      <c r="I37" s="27"/>
      <c r="J37" s="28"/>
      <c r="K37" s="60"/>
      <c r="L37" s="6">
        <f>SUM(L6:L36)</f>
        <v>53.66</v>
      </c>
      <c r="M37" s="7"/>
      <c r="N37" s="41"/>
      <c r="O37" s="20"/>
      <c r="Q37" s="7"/>
      <c r="S37" s="7"/>
      <c r="U37" s="7"/>
      <c r="W37" s="7"/>
    </row>
    <row r="38" ht="9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61"/>
      <c r="L38" s="25"/>
      <c r="M38" s="7"/>
      <c r="N38" s="46"/>
      <c r="O38" s="47"/>
      <c r="Q38" s="7"/>
      <c r="S38" s="7"/>
      <c r="U38" s="7"/>
      <c r="W38" s="7"/>
    </row>
    <row r="39">
      <c r="A39" s="25"/>
      <c r="B39" s="26" t="s">
        <v>26</v>
      </c>
      <c r="C39" s="27"/>
      <c r="D39" s="27"/>
      <c r="E39" s="27"/>
      <c r="F39" s="28"/>
      <c r="G39" s="25"/>
      <c r="H39" s="26" t="s">
        <v>25</v>
      </c>
      <c r="I39" s="27"/>
      <c r="J39" s="27"/>
      <c r="K39" s="27"/>
      <c r="L39" s="28"/>
      <c r="M39" s="7"/>
      <c r="N39" s="46"/>
      <c r="O39" s="47"/>
      <c r="Q39" s="7"/>
      <c r="S39" s="7"/>
      <c r="U39" s="7"/>
      <c r="W39" s="7"/>
    </row>
    <row r="40">
      <c r="A40" s="25"/>
      <c r="B40" s="26" t="s">
        <v>33</v>
      </c>
      <c r="C40" s="27"/>
      <c r="D40" s="28"/>
      <c r="E40" s="30" t="s">
        <v>34</v>
      </c>
      <c r="F40" s="31" t="s">
        <v>35</v>
      </c>
      <c r="G40" s="32"/>
      <c r="H40" s="26" t="s">
        <v>33</v>
      </c>
      <c r="I40" s="27"/>
      <c r="J40" s="28"/>
      <c r="K40" s="34" t="s">
        <v>34</v>
      </c>
      <c r="L40" s="31" t="s">
        <v>35</v>
      </c>
      <c r="M40" s="7"/>
      <c r="O40" s="7"/>
      <c r="Q40" s="7"/>
      <c r="S40" s="7"/>
      <c r="U40" s="7"/>
      <c r="W40" s="7"/>
    </row>
    <row r="41">
      <c r="A41" s="2"/>
      <c r="B41" s="35" t="s">
        <v>343</v>
      </c>
      <c r="C41" s="27"/>
      <c r="D41" s="28"/>
      <c r="E41" s="64">
        <v>43740.0</v>
      </c>
      <c r="F41" s="3">
        <v>60.0</v>
      </c>
      <c r="G41" s="5"/>
      <c r="H41" s="35" t="s">
        <v>175</v>
      </c>
      <c r="I41" s="27"/>
      <c r="J41" s="28"/>
      <c r="K41" s="58">
        <v>43741.0</v>
      </c>
      <c r="L41" s="3">
        <v>8.0</v>
      </c>
      <c r="M41" s="7"/>
      <c r="O41" s="7"/>
      <c r="Q41" s="7"/>
      <c r="S41" s="7"/>
      <c r="U41" s="7"/>
      <c r="W41" s="7"/>
    </row>
    <row r="42">
      <c r="A42" s="50"/>
      <c r="B42" s="35" t="s">
        <v>377</v>
      </c>
      <c r="C42" s="27"/>
      <c r="D42" s="28"/>
      <c r="E42" s="64">
        <v>43741.0</v>
      </c>
      <c r="F42" s="3">
        <v>100.0</v>
      </c>
      <c r="G42" s="7"/>
      <c r="H42" s="35" t="s">
        <v>56</v>
      </c>
      <c r="I42" s="27"/>
      <c r="J42" s="28"/>
      <c r="K42" s="58">
        <v>43751.0</v>
      </c>
      <c r="L42" s="49">
        <v>20.9</v>
      </c>
      <c r="M42" s="7"/>
      <c r="O42" s="7"/>
      <c r="Q42" s="7"/>
      <c r="S42" s="7"/>
      <c r="U42" s="7"/>
      <c r="W42" s="7"/>
    </row>
    <row r="43">
      <c r="A43" s="50"/>
      <c r="B43" s="35" t="s">
        <v>378</v>
      </c>
      <c r="C43" s="27"/>
      <c r="D43" s="28"/>
      <c r="E43" s="64">
        <v>43741.0</v>
      </c>
      <c r="F43" s="3">
        <v>127.82</v>
      </c>
      <c r="G43" s="7"/>
      <c r="H43" s="35" t="s">
        <v>379</v>
      </c>
      <c r="I43" s="27"/>
      <c r="J43" s="28"/>
      <c r="K43" s="58">
        <v>43750.0</v>
      </c>
      <c r="L43" s="49">
        <v>17.86</v>
      </c>
      <c r="M43" s="7"/>
      <c r="O43" s="7"/>
      <c r="Q43" s="7"/>
      <c r="S43" s="7"/>
      <c r="U43" s="7"/>
      <c r="W43" s="7"/>
    </row>
    <row r="44">
      <c r="A44" s="50"/>
      <c r="B44" s="35" t="s">
        <v>380</v>
      </c>
      <c r="C44" s="27"/>
      <c r="D44" s="28"/>
      <c r="E44" s="64">
        <v>43741.0</v>
      </c>
      <c r="F44" s="3">
        <v>91.55</v>
      </c>
      <c r="G44" s="7"/>
      <c r="H44" s="35" t="s">
        <v>179</v>
      </c>
      <c r="I44" s="27"/>
      <c r="J44" s="28"/>
      <c r="K44" s="58">
        <v>43756.0</v>
      </c>
      <c r="L44" s="49">
        <v>10.99</v>
      </c>
      <c r="M44" s="7"/>
      <c r="O44" s="7"/>
      <c r="Q44" s="7"/>
      <c r="S44" s="7"/>
      <c r="U44" s="7"/>
      <c r="W44" s="7"/>
    </row>
    <row r="45">
      <c r="A45" s="50"/>
      <c r="B45" s="35" t="s">
        <v>381</v>
      </c>
      <c r="C45" s="27"/>
      <c r="D45" s="28"/>
      <c r="E45" s="64">
        <v>43741.0</v>
      </c>
      <c r="F45" s="3">
        <v>11.27</v>
      </c>
      <c r="G45" s="7"/>
      <c r="H45" s="35" t="s">
        <v>382</v>
      </c>
      <c r="I45" s="27"/>
      <c r="J45" s="28"/>
      <c r="K45" s="58">
        <v>43760.0</v>
      </c>
      <c r="L45" s="49">
        <v>10.89</v>
      </c>
      <c r="M45" s="7"/>
      <c r="O45" s="7"/>
      <c r="Q45" s="7"/>
      <c r="S45" s="7"/>
      <c r="U45" s="7"/>
      <c r="W45" s="7"/>
    </row>
    <row r="46">
      <c r="A46" s="50"/>
      <c r="B46" s="35" t="s">
        <v>383</v>
      </c>
      <c r="C46" s="27"/>
      <c r="D46" s="28"/>
      <c r="E46" s="64">
        <v>43741.0</v>
      </c>
      <c r="F46" s="3">
        <v>2.0</v>
      </c>
      <c r="G46" s="7"/>
      <c r="H46" s="35" t="s">
        <v>367</v>
      </c>
      <c r="I46" s="27"/>
      <c r="J46" s="28"/>
      <c r="K46" s="58">
        <v>43764.0</v>
      </c>
      <c r="L46" s="49">
        <f>2.89*2</f>
        <v>5.78</v>
      </c>
      <c r="M46" s="7"/>
      <c r="O46" s="7"/>
      <c r="P46" s="2"/>
      <c r="Q46" s="7"/>
      <c r="S46" s="7"/>
      <c r="U46" s="7"/>
      <c r="W46" s="7"/>
    </row>
    <row r="47">
      <c r="A47" s="50"/>
      <c r="B47" s="35" t="s">
        <v>384</v>
      </c>
      <c r="C47" s="27"/>
      <c r="D47" s="28"/>
      <c r="E47" s="64">
        <v>43741.0</v>
      </c>
      <c r="F47" s="3">
        <v>1.0</v>
      </c>
      <c r="G47" s="7"/>
      <c r="H47" s="35" t="s">
        <v>385</v>
      </c>
      <c r="I47" s="27"/>
      <c r="J47" s="28"/>
      <c r="K47" s="59">
        <v>43764.0</v>
      </c>
      <c r="L47" s="49">
        <v>4.93</v>
      </c>
      <c r="M47" s="7"/>
      <c r="O47" s="7"/>
      <c r="Q47" s="7"/>
      <c r="S47" s="7"/>
      <c r="U47" s="7"/>
      <c r="W47" s="7"/>
    </row>
    <row r="48">
      <c r="A48" s="50"/>
      <c r="B48" s="35" t="s">
        <v>386</v>
      </c>
      <c r="C48" s="27"/>
      <c r="D48" s="28"/>
      <c r="E48" s="64">
        <v>43741.0</v>
      </c>
      <c r="F48" s="3">
        <v>50.0</v>
      </c>
      <c r="G48" s="7"/>
      <c r="H48" s="35" t="s">
        <v>58</v>
      </c>
      <c r="I48" s="27"/>
      <c r="J48" s="28"/>
      <c r="K48" s="59">
        <v>43767.0</v>
      </c>
      <c r="L48" s="49">
        <v>3.29</v>
      </c>
      <c r="M48" s="7"/>
      <c r="O48" s="7"/>
      <c r="Q48" s="7"/>
      <c r="S48" s="7"/>
      <c r="U48" s="7"/>
      <c r="W48" s="7"/>
    </row>
    <row r="49">
      <c r="A49" s="50"/>
      <c r="B49" s="35" t="s">
        <v>387</v>
      </c>
      <c r="C49" s="27"/>
      <c r="D49" s="28"/>
      <c r="E49" s="64">
        <v>43742.0</v>
      </c>
      <c r="F49" s="3">
        <v>46.0</v>
      </c>
      <c r="G49" s="7"/>
      <c r="H49" s="35" t="s">
        <v>45</v>
      </c>
      <c r="I49" s="27"/>
      <c r="J49" s="28"/>
      <c r="K49" s="59">
        <v>43768.0</v>
      </c>
      <c r="L49" s="49">
        <v>5.0</v>
      </c>
      <c r="M49" s="7"/>
      <c r="O49" s="7"/>
      <c r="Q49" s="7"/>
      <c r="S49" s="7"/>
      <c r="U49" s="7"/>
      <c r="W49" s="7"/>
    </row>
    <row r="50">
      <c r="A50" s="50"/>
      <c r="B50" s="35" t="s">
        <v>388</v>
      </c>
      <c r="C50" s="27"/>
      <c r="D50" s="28"/>
      <c r="E50" s="64">
        <v>43744.0</v>
      </c>
      <c r="F50" s="3">
        <v>31.0</v>
      </c>
      <c r="G50" s="7"/>
      <c r="H50" s="52"/>
      <c r="I50" s="27"/>
      <c r="J50" s="28"/>
      <c r="K50" s="60"/>
      <c r="L50" s="51"/>
      <c r="M50" s="7"/>
      <c r="O50" s="7"/>
      <c r="Q50" s="7"/>
      <c r="S50" s="7"/>
      <c r="U50" s="7"/>
      <c r="W50" s="7"/>
    </row>
    <row r="51">
      <c r="A51" s="50"/>
      <c r="B51" s="35" t="s">
        <v>389</v>
      </c>
      <c r="C51" s="27"/>
      <c r="D51" s="28"/>
      <c r="E51" s="64">
        <v>43744.0</v>
      </c>
      <c r="F51" s="3">
        <f>(42/2)+10</f>
        <v>31</v>
      </c>
      <c r="G51" s="7"/>
      <c r="H51" s="52"/>
      <c r="I51" s="27"/>
      <c r="J51" s="28"/>
      <c r="K51" s="60"/>
      <c r="L51" s="51"/>
      <c r="M51" s="7"/>
      <c r="O51" s="7"/>
      <c r="Q51" s="7"/>
      <c r="S51" s="7"/>
      <c r="U51" s="7"/>
      <c r="W51" s="7"/>
    </row>
    <row r="52">
      <c r="A52" s="50"/>
      <c r="B52" s="35" t="s">
        <v>390</v>
      </c>
      <c r="C52" s="27"/>
      <c r="D52" s="28"/>
      <c r="E52" s="64">
        <v>43746.0</v>
      </c>
      <c r="F52" s="3">
        <v>89.0</v>
      </c>
      <c r="G52" s="7"/>
      <c r="H52" s="52"/>
      <c r="I52" s="27"/>
      <c r="J52" s="28"/>
      <c r="K52" s="60"/>
      <c r="L52" s="51"/>
      <c r="M52" s="7"/>
      <c r="O52" s="7"/>
      <c r="Q52" s="7"/>
      <c r="S52" s="7"/>
      <c r="U52" s="7"/>
      <c r="W52" s="7"/>
    </row>
    <row r="53">
      <c r="A53" s="50"/>
      <c r="B53" s="35" t="s">
        <v>81</v>
      </c>
      <c r="C53" s="27"/>
      <c r="D53" s="28"/>
      <c r="E53" s="64">
        <v>43749.0</v>
      </c>
      <c r="F53" s="3">
        <v>7.4</v>
      </c>
      <c r="G53" s="7"/>
      <c r="H53" s="52"/>
      <c r="I53" s="27"/>
      <c r="J53" s="28"/>
      <c r="K53" s="60"/>
      <c r="L53" s="51"/>
      <c r="M53" s="7"/>
      <c r="O53" s="7"/>
      <c r="Q53" s="7"/>
      <c r="S53" s="7"/>
      <c r="U53" s="7"/>
      <c r="W53" s="7"/>
    </row>
    <row r="54">
      <c r="A54" s="50"/>
      <c r="B54" s="35" t="s">
        <v>391</v>
      </c>
      <c r="C54" s="27"/>
      <c r="D54" s="28"/>
      <c r="E54" s="64">
        <v>43750.0</v>
      </c>
      <c r="F54" s="3">
        <v>10.0</v>
      </c>
      <c r="G54" s="7"/>
      <c r="H54" s="52"/>
      <c r="I54" s="27"/>
      <c r="J54" s="28"/>
      <c r="K54" s="60"/>
      <c r="L54" s="51"/>
      <c r="M54" s="7"/>
      <c r="O54" s="7"/>
      <c r="Q54" s="7"/>
      <c r="S54" s="7"/>
      <c r="U54" s="7"/>
      <c r="W54" s="7"/>
    </row>
    <row r="55">
      <c r="A55" s="50"/>
      <c r="B55" s="35" t="s">
        <v>392</v>
      </c>
      <c r="C55" s="27"/>
      <c r="D55" s="28"/>
      <c r="E55" s="66">
        <v>43752.0</v>
      </c>
      <c r="F55" s="3">
        <v>10.0</v>
      </c>
      <c r="G55" s="7"/>
      <c r="H55" s="52"/>
      <c r="I55" s="27"/>
      <c r="J55" s="28"/>
      <c r="K55" s="60"/>
      <c r="L55" s="51"/>
      <c r="M55" s="7"/>
      <c r="O55" s="7"/>
      <c r="Q55" s="7"/>
      <c r="S55" s="7"/>
      <c r="U55" s="7"/>
      <c r="W55" s="7"/>
    </row>
    <row r="56">
      <c r="A56" s="50"/>
      <c r="B56" s="35" t="s">
        <v>393</v>
      </c>
      <c r="C56" s="27"/>
      <c r="D56" s="28"/>
      <c r="E56" s="66">
        <v>43752.0</v>
      </c>
      <c r="F56" s="3">
        <v>120.0</v>
      </c>
      <c r="G56" s="7"/>
      <c r="H56" s="52"/>
      <c r="I56" s="27"/>
      <c r="J56" s="28"/>
      <c r="K56" s="60"/>
      <c r="L56" s="51"/>
      <c r="M56" s="7"/>
      <c r="O56" s="7"/>
      <c r="Q56" s="7"/>
      <c r="S56" s="7"/>
      <c r="U56" s="7"/>
      <c r="W56" s="7"/>
    </row>
    <row r="57">
      <c r="A57" s="50"/>
      <c r="B57" s="35" t="s">
        <v>77</v>
      </c>
      <c r="C57" s="27"/>
      <c r="D57" s="28"/>
      <c r="E57" s="66">
        <v>43755.0</v>
      </c>
      <c r="F57" s="3">
        <v>60.0</v>
      </c>
      <c r="G57" s="7"/>
      <c r="H57" s="52"/>
      <c r="I57" s="27"/>
      <c r="J57" s="28"/>
      <c r="K57" s="60"/>
      <c r="L57" s="51"/>
      <c r="M57" s="7"/>
      <c r="O57" s="7"/>
      <c r="Q57" s="7"/>
      <c r="S57" s="7"/>
      <c r="U57" s="7"/>
      <c r="W57" s="7"/>
    </row>
    <row r="58">
      <c r="A58" s="50"/>
      <c r="B58" s="35" t="s">
        <v>394</v>
      </c>
      <c r="C58" s="27"/>
      <c r="D58" s="28"/>
      <c r="E58" s="66">
        <v>43755.0</v>
      </c>
      <c r="F58" s="3">
        <v>400.0</v>
      </c>
      <c r="G58" s="7"/>
      <c r="H58" s="52"/>
      <c r="I58" s="27"/>
      <c r="J58" s="28"/>
      <c r="K58" s="60"/>
      <c r="L58" s="51"/>
      <c r="M58" s="7"/>
      <c r="O58" s="7"/>
      <c r="Q58" s="7"/>
      <c r="S58" s="7"/>
      <c r="U58" s="7"/>
      <c r="W58" s="7"/>
    </row>
    <row r="59">
      <c r="A59" s="50"/>
      <c r="B59" s="35" t="s">
        <v>395</v>
      </c>
      <c r="C59" s="27"/>
      <c r="D59" s="28"/>
      <c r="E59" s="66">
        <v>43767.0</v>
      </c>
      <c r="F59" s="3">
        <v>15.0</v>
      </c>
      <c r="G59" s="7"/>
      <c r="H59" s="52"/>
      <c r="I59" s="27"/>
      <c r="J59" s="28"/>
      <c r="K59" s="60"/>
      <c r="L59" s="51"/>
      <c r="M59" s="7"/>
      <c r="O59" s="7"/>
      <c r="Q59" s="7"/>
      <c r="S59" s="7"/>
      <c r="U59" s="7"/>
      <c r="W59" s="7"/>
    </row>
    <row r="60">
      <c r="A60" s="50"/>
      <c r="B60" s="35"/>
      <c r="C60" s="27"/>
      <c r="D60" s="28"/>
      <c r="E60" s="66"/>
      <c r="F60" s="3"/>
      <c r="G60" s="7"/>
      <c r="H60" s="52"/>
      <c r="I60" s="27"/>
      <c r="J60" s="28"/>
      <c r="K60" s="60"/>
      <c r="L60" s="51"/>
      <c r="M60" s="7"/>
      <c r="O60" s="7"/>
      <c r="Q60" s="7"/>
      <c r="S60" s="7"/>
      <c r="U60" s="7"/>
      <c r="W60" s="7"/>
    </row>
    <row r="61">
      <c r="A61" s="50"/>
      <c r="B61" s="35"/>
      <c r="C61" s="27"/>
      <c r="D61" s="28"/>
      <c r="E61" s="66"/>
      <c r="F61" s="3"/>
      <c r="G61" s="7"/>
      <c r="H61" s="52"/>
      <c r="I61" s="27"/>
      <c r="J61" s="28"/>
      <c r="K61" s="60"/>
      <c r="L61" s="51"/>
      <c r="M61" s="7"/>
      <c r="O61" s="7"/>
      <c r="Q61" s="7"/>
      <c r="S61" s="7"/>
      <c r="U61" s="7"/>
      <c r="W61" s="7"/>
    </row>
    <row r="62">
      <c r="A62" s="50"/>
      <c r="B62" s="35"/>
      <c r="C62" s="27"/>
      <c r="D62" s="28"/>
      <c r="E62" s="66"/>
      <c r="F62" s="3"/>
      <c r="G62" s="7"/>
      <c r="H62" s="52"/>
      <c r="I62" s="27"/>
      <c r="J62" s="28"/>
      <c r="K62" s="60"/>
      <c r="L62" s="51"/>
      <c r="M62" s="7"/>
      <c r="O62" s="7"/>
      <c r="Q62" s="7"/>
      <c r="S62" s="7"/>
      <c r="U62" s="7"/>
      <c r="W62" s="7"/>
    </row>
    <row r="63">
      <c r="A63" s="50"/>
      <c r="B63" s="35"/>
      <c r="C63" s="27"/>
      <c r="D63" s="28"/>
      <c r="E63" s="66"/>
      <c r="F63" s="3"/>
      <c r="G63" s="7"/>
      <c r="H63" s="52"/>
      <c r="I63" s="27"/>
      <c r="J63" s="28"/>
      <c r="K63" s="60"/>
      <c r="L63" s="51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7"/>
      <c r="D64" s="28"/>
      <c r="E64" s="65"/>
      <c r="F64" s="6">
        <f>SUM(F41:F63)</f>
        <v>1263.04</v>
      </c>
      <c r="G64" s="7"/>
      <c r="H64" s="52"/>
      <c r="I64" s="27"/>
      <c r="J64" s="28"/>
      <c r="K64" s="60"/>
      <c r="L64" s="6">
        <f>SUM(L41:L55)</f>
        <v>87.64</v>
      </c>
      <c r="M64" s="7"/>
      <c r="O64" s="7"/>
      <c r="Q64" s="7"/>
      <c r="S64" s="7"/>
      <c r="U64" s="7"/>
      <c r="W64" s="7"/>
    </row>
    <row r="65">
      <c r="A65" s="50"/>
      <c r="B65" s="50"/>
      <c r="C65" s="7"/>
      <c r="E65" s="67"/>
      <c r="F65" s="7"/>
      <c r="G65" s="7"/>
      <c r="I65" s="7"/>
      <c r="K65" s="62"/>
      <c r="L65" s="7"/>
      <c r="M65" s="7"/>
      <c r="O65" s="7"/>
      <c r="Q65" s="7"/>
      <c r="S65" s="7"/>
      <c r="U65" s="7"/>
      <c r="W65" s="7"/>
    </row>
    <row r="66">
      <c r="A66" s="25"/>
      <c r="B66" s="26" t="s">
        <v>24</v>
      </c>
      <c r="C66" s="27"/>
      <c r="D66" s="27"/>
      <c r="E66" s="27"/>
      <c r="F66" s="28"/>
      <c r="G66" s="7"/>
      <c r="H66" s="26" t="s">
        <v>19</v>
      </c>
      <c r="I66" s="27"/>
      <c r="J66" s="27"/>
      <c r="K66" s="27"/>
      <c r="L66" s="28"/>
      <c r="M66" s="7"/>
      <c r="O66" s="7"/>
      <c r="Q66" s="7"/>
      <c r="S66" s="7"/>
      <c r="U66" s="7"/>
      <c r="W66" s="7"/>
    </row>
    <row r="67">
      <c r="A67" s="25"/>
      <c r="B67" s="26" t="s">
        <v>33</v>
      </c>
      <c r="C67" s="27"/>
      <c r="D67" s="28"/>
      <c r="E67" s="30" t="s">
        <v>34</v>
      </c>
      <c r="F67" s="31" t="s">
        <v>35</v>
      </c>
      <c r="G67" s="7"/>
      <c r="H67" s="26" t="s">
        <v>33</v>
      </c>
      <c r="I67" s="27"/>
      <c r="J67" s="28"/>
      <c r="K67" s="34" t="s">
        <v>34</v>
      </c>
      <c r="L67" s="31" t="s">
        <v>35</v>
      </c>
      <c r="M67" s="7"/>
      <c r="O67" s="7"/>
      <c r="Q67" s="7"/>
      <c r="S67" s="7"/>
      <c r="U67" s="7"/>
      <c r="W67" s="7"/>
    </row>
    <row r="68">
      <c r="A68" s="2"/>
      <c r="B68" s="35" t="s">
        <v>82</v>
      </c>
      <c r="C68" s="27"/>
      <c r="D68" s="28"/>
      <c r="E68" s="63">
        <v>43764.0</v>
      </c>
      <c r="F68" s="49">
        <v>4.87</v>
      </c>
      <c r="G68" s="7"/>
      <c r="H68" s="35" t="s">
        <v>122</v>
      </c>
      <c r="I68" s="27"/>
      <c r="J68" s="28"/>
      <c r="K68" s="58">
        <v>43755.0</v>
      </c>
      <c r="L68" s="3">
        <v>50.0</v>
      </c>
      <c r="M68" s="7"/>
      <c r="O68" s="7"/>
      <c r="Q68" s="7"/>
      <c r="S68" s="7"/>
      <c r="U68" s="7"/>
      <c r="W68" s="7"/>
    </row>
    <row r="69">
      <c r="A69" s="50"/>
      <c r="B69" s="35" t="s">
        <v>82</v>
      </c>
      <c r="C69" s="27"/>
      <c r="D69" s="28"/>
      <c r="E69" s="64">
        <v>43767.0</v>
      </c>
      <c r="F69" s="3">
        <v>10.0</v>
      </c>
      <c r="G69" s="7"/>
      <c r="H69" s="35"/>
      <c r="I69" s="27"/>
      <c r="J69" s="28"/>
      <c r="K69" s="59"/>
      <c r="L69" s="3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65"/>
      <c r="F70" s="6"/>
      <c r="G70" s="7"/>
      <c r="H70" s="35"/>
      <c r="I70" s="27"/>
      <c r="J70" s="28"/>
      <c r="K70" s="59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65"/>
      <c r="F71" s="6"/>
      <c r="G71" s="7"/>
      <c r="H71" s="35"/>
      <c r="I71" s="27"/>
      <c r="J71" s="28"/>
      <c r="K71" s="59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65"/>
      <c r="F72" s="6"/>
      <c r="G72" s="7"/>
      <c r="H72" s="53"/>
      <c r="I72" s="27"/>
      <c r="J72" s="28"/>
      <c r="K72" s="60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65"/>
      <c r="F73" s="6"/>
      <c r="G73" s="7"/>
      <c r="H73" s="53"/>
      <c r="I73" s="27"/>
      <c r="J73" s="28"/>
      <c r="K73" s="60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65"/>
      <c r="F74" s="6"/>
      <c r="G74" s="7"/>
      <c r="H74" s="53"/>
      <c r="I74" s="27"/>
      <c r="J74" s="28"/>
      <c r="K74" s="60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7"/>
      <c r="D75" s="28"/>
      <c r="E75" s="65"/>
      <c r="F75" s="6">
        <f>SUM(F68:F74)</f>
        <v>14.87</v>
      </c>
      <c r="G75" s="7"/>
      <c r="H75" s="35" t="s">
        <v>17</v>
      </c>
      <c r="I75" s="27"/>
      <c r="J75" s="28"/>
      <c r="K75" s="60"/>
      <c r="L75" s="6">
        <f>SUM(L68:L74)</f>
        <v>50</v>
      </c>
      <c r="M75" s="7"/>
      <c r="O75" s="7"/>
      <c r="Q75" s="7"/>
      <c r="S75" s="7"/>
      <c r="U75" s="7"/>
      <c r="W75" s="7"/>
    </row>
    <row r="76">
      <c r="E76" s="67"/>
      <c r="F76" s="7"/>
      <c r="G76" s="7"/>
      <c r="I76" s="7"/>
      <c r="K76" s="62"/>
      <c r="L76" s="7"/>
      <c r="M76" s="7"/>
      <c r="O76" s="7"/>
      <c r="Q76" s="7"/>
      <c r="S76" s="7"/>
      <c r="U76" s="7"/>
      <c r="W76" s="7"/>
    </row>
    <row r="77">
      <c r="A77" s="25"/>
      <c r="B77" s="26" t="s">
        <v>21</v>
      </c>
      <c r="C77" s="27"/>
      <c r="D77" s="27"/>
      <c r="E77" s="27"/>
      <c r="F77" s="28"/>
      <c r="G77" s="7"/>
      <c r="H77" s="26" t="s">
        <v>20</v>
      </c>
      <c r="I77" s="27"/>
      <c r="J77" s="27"/>
      <c r="K77" s="27"/>
      <c r="L77" s="28"/>
      <c r="M77" s="7"/>
      <c r="O77" s="7"/>
      <c r="Q77" s="7"/>
      <c r="S77" s="7"/>
      <c r="U77" s="7"/>
      <c r="W77" s="7"/>
    </row>
    <row r="78">
      <c r="A78" s="25"/>
      <c r="B78" s="26" t="s">
        <v>33</v>
      </c>
      <c r="C78" s="27"/>
      <c r="D78" s="28"/>
      <c r="E78" s="30" t="s">
        <v>34</v>
      </c>
      <c r="F78" s="31" t="s">
        <v>35</v>
      </c>
      <c r="G78" s="7"/>
      <c r="H78" s="26" t="s">
        <v>33</v>
      </c>
      <c r="I78" s="27"/>
      <c r="J78" s="28"/>
      <c r="K78" s="34" t="s">
        <v>34</v>
      </c>
      <c r="L78" s="31" t="s">
        <v>35</v>
      </c>
      <c r="M78" s="7"/>
      <c r="O78" s="7"/>
      <c r="Q78" s="7"/>
      <c r="S78" s="7"/>
      <c r="U78" s="7"/>
      <c r="W78" s="7"/>
    </row>
    <row r="79">
      <c r="A79" s="2"/>
      <c r="B79" s="35" t="s">
        <v>208</v>
      </c>
      <c r="C79" s="27"/>
      <c r="D79" s="28"/>
      <c r="E79" s="63">
        <v>43741.0</v>
      </c>
      <c r="F79" s="3">
        <v>43.82</v>
      </c>
      <c r="G79" s="7"/>
      <c r="H79" s="35" t="s">
        <v>125</v>
      </c>
      <c r="I79" s="27"/>
      <c r="J79" s="28"/>
      <c r="K79" s="58">
        <v>43741.0</v>
      </c>
      <c r="L79" s="3">
        <v>189.58</v>
      </c>
      <c r="M79" s="7"/>
      <c r="O79" s="7"/>
      <c r="Q79" s="7"/>
      <c r="S79" s="7"/>
      <c r="U79" s="7"/>
      <c r="W79" s="7"/>
    </row>
    <row r="80">
      <c r="A80" s="50"/>
      <c r="B80" s="35"/>
      <c r="C80" s="27"/>
      <c r="D80" s="28"/>
      <c r="E80" s="68"/>
      <c r="F80" s="3"/>
      <c r="G80" s="7"/>
      <c r="H80" s="35"/>
      <c r="I80" s="27"/>
      <c r="J80" s="28"/>
      <c r="K80" s="59"/>
      <c r="L80" s="3"/>
      <c r="M80" s="7">
        <f>L79+F79</f>
        <v>233.4</v>
      </c>
      <c r="O80" s="7"/>
      <c r="Q80" s="7"/>
      <c r="S80" s="7"/>
      <c r="U80" s="7"/>
      <c r="W80" s="7"/>
    </row>
    <row r="81">
      <c r="A81" s="50"/>
      <c r="B81" s="53"/>
      <c r="C81" s="27"/>
      <c r="D81" s="28"/>
      <c r="E81" s="65"/>
      <c r="F81" s="6"/>
      <c r="G81" s="7"/>
      <c r="H81" s="53"/>
      <c r="I81" s="27"/>
      <c r="J81" s="28"/>
      <c r="K81" s="60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65"/>
      <c r="F82" s="6"/>
      <c r="G82" s="7"/>
      <c r="H82" s="53"/>
      <c r="I82" s="27"/>
      <c r="J82" s="28"/>
      <c r="K82" s="60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65"/>
      <c r="F83" s="6"/>
      <c r="G83" s="7"/>
      <c r="H83" s="53"/>
      <c r="I83" s="27"/>
      <c r="J83" s="28"/>
      <c r="K83" s="60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65"/>
      <c r="F84" s="6"/>
      <c r="G84" s="7"/>
      <c r="H84" s="53"/>
      <c r="I84" s="27"/>
      <c r="J84" s="28"/>
      <c r="K84" s="60"/>
      <c r="L84" s="6"/>
      <c r="M84" s="7">
        <f>(F79+L79)/3</f>
        <v>77.8</v>
      </c>
      <c r="O84" s="7"/>
      <c r="Q84" s="7"/>
      <c r="S84" s="7"/>
      <c r="U84" s="7"/>
      <c r="W84" s="7"/>
    </row>
    <row r="85">
      <c r="A85" s="50"/>
      <c r="B85" s="53"/>
      <c r="C85" s="27"/>
      <c r="D85" s="28"/>
      <c r="E85" s="65"/>
      <c r="F85" s="6"/>
      <c r="G85" s="7"/>
      <c r="H85" s="53"/>
      <c r="I85" s="27"/>
      <c r="J85" s="28"/>
      <c r="K85" s="60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7"/>
      <c r="D86" s="28"/>
      <c r="E86" s="65"/>
      <c r="F86" s="6">
        <f>SUM(F79:F85)</f>
        <v>43.82</v>
      </c>
      <c r="G86" s="7"/>
      <c r="H86" s="35" t="s">
        <v>17</v>
      </c>
      <c r="I86" s="27"/>
      <c r="J86" s="28"/>
      <c r="K86" s="60"/>
      <c r="L86" s="6">
        <f>SUM(L79:L85)</f>
        <v>189.58</v>
      </c>
      <c r="M86" s="7"/>
      <c r="O86" s="7"/>
      <c r="Q86" s="7"/>
      <c r="S86" s="7"/>
      <c r="U86" s="7"/>
      <c r="W86" s="7"/>
    </row>
    <row r="87">
      <c r="E87" s="67"/>
      <c r="F87" s="7"/>
      <c r="G87" s="7"/>
      <c r="I87" s="7"/>
      <c r="K87" s="62"/>
      <c r="L87" s="7"/>
      <c r="M87" s="7"/>
      <c r="O87" s="7"/>
      <c r="Q87" s="7"/>
      <c r="S87" s="7"/>
      <c r="U87" s="7"/>
      <c r="W87" s="7"/>
    </row>
    <row r="88">
      <c r="A88" s="25"/>
      <c r="B88" s="26" t="s">
        <v>22</v>
      </c>
      <c r="C88" s="27"/>
      <c r="D88" s="27"/>
      <c r="E88" s="27"/>
      <c r="F88" s="28"/>
      <c r="G88" s="7"/>
      <c r="H88" s="26" t="s">
        <v>248</v>
      </c>
      <c r="I88" s="27"/>
      <c r="J88" s="27"/>
      <c r="K88" s="27"/>
      <c r="L88" s="28"/>
      <c r="M88" s="7"/>
      <c r="O88" s="7"/>
      <c r="Q88" s="7"/>
      <c r="S88" s="7"/>
      <c r="U88" s="7"/>
      <c r="W88" s="7"/>
    </row>
    <row r="89">
      <c r="A89" s="25"/>
      <c r="B89" s="26" t="s">
        <v>33</v>
      </c>
      <c r="C89" s="27"/>
      <c r="D89" s="28"/>
      <c r="E89" s="30" t="s">
        <v>34</v>
      </c>
      <c r="F89" s="31" t="s">
        <v>35</v>
      </c>
      <c r="G89" s="7"/>
      <c r="H89" s="26" t="s">
        <v>33</v>
      </c>
      <c r="I89" s="27"/>
      <c r="J89" s="28"/>
      <c r="K89" s="34" t="s">
        <v>34</v>
      </c>
      <c r="L89" s="31" t="s">
        <v>35</v>
      </c>
      <c r="M89" s="7"/>
      <c r="O89" s="7"/>
      <c r="Q89" s="7"/>
      <c r="S89" s="7"/>
      <c r="U89" s="7"/>
      <c r="W89" s="7"/>
    </row>
    <row r="90">
      <c r="A90" s="2"/>
      <c r="B90" s="35"/>
      <c r="C90" s="27"/>
      <c r="D90" s="28"/>
      <c r="E90" s="64"/>
      <c r="F90" s="3"/>
      <c r="G90" s="7"/>
      <c r="H90" s="35"/>
      <c r="I90" s="27"/>
      <c r="J90" s="28"/>
      <c r="K90" s="59"/>
      <c r="L90" s="3"/>
      <c r="M90" s="7"/>
      <c r="O90" s="7"/>
      <c r="Q90" s="7"/>
      <c r="S90" s="7"/>
      <c r="U90" s="7"/>
      <c r="W90" s="7"/>
    </row>
    <row r="91">
      <c r="A91" s="50"/>
      <c r="B91" s="53"/>
      <c r="C91" s="27"/>
      <c r="D91" s="28"/>
      <c r="E91" s="65"/>
      <c r="F91" s="6"/>
      <c r="G91" s="7"/>
      <c r="H91" s="35"/>
      <c r="I91" s="27"/>
      <c r="J91" s="28"/>
      <c r="K91" s="59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65"/>
      <c r="F92" s="6"/>
      <c r="G92" s="7"/>
      <c r="H92" s="35"/>
      <c r="I92" s="27"/>
      <c r="J92" s="28"/>
      <c r="K92" s="59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65"/>
      <c r="F93" s="6"/>
      <c r="G93" s="7"/>
      <c r="H93" s="35"/>
      <c r="I93" s="27"/>
      <c r="J93" s="28"/>
      <c r="K93" s="59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65"/>
      <c r="F94" s="6"/>
      <c r="G94" s="7"/>
      <c r="H94" s="35"/>
      <c r="I94" s="27"/>
      <c r="J94" s="28"/>
      <c r="K94" s="59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65"/>
      <c r="F95" s="6"/>
      <c r="G95" s="7"/>
      <c r="H95" s="35"/>
      <c r="I95" s="27"/>
      <c r="J95" s="28"/>
      <c r="K95" s="59"/>
      <c r="L95" s="3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65"/>
      <c r="F96" s="6"/>
      <c r="G96" s="7"/>
      <c r="H96" s="35"/>
      <c r="I96" s="27"/>
      <c r="J96" s="28"/>
      <c r="K96" s="59"/>
      <c r="L96" s="6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65"/>
      <c r="F97" s="6"/>
      <c r="G97" s="7"/>
      <c r="H97" s="35"/>
      <c r="I97" s="27"/>
      <c r="J97" s="28"/>
      <c r="K97" s="59"/>
      <c r="L97" s="3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65"/>
      <c r="F98" s="6"/>
      <c r="G98" s="7"/>
      <c r="H98" s="35"/>
      <c r="I98" s="27"/>
      <c r="J98" s="28"/>
      <c r="K98" s="59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65"/>
      <c r="F99" s="6"/>
      <c r="G99" s="7"/>
      <c r="H99" s="35"/>
      <c r="I99" s="27"/>
      <c r="J99" s="28"/>
      <c r="K99" s="59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65"/>
      <c r="F100" s="6"/>
      <c r="G100" s="7"/>
      <c r="H100" s="35"/>
      <c r="I100" s="27"/>
      <c r="J100" s="28"/>
      <c r="K100" s="59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65"/>
      <c r="F101" s="6"/>
      <c r="G101" s="7"/>
      <c r="H101" s="35"/>
      <c r="I101" s="27"/>
      <c r="J101" s="28"/>
      <c r="K101" s="59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65"/>
      <c r="F102" s="6"/>
      <c r="G102" s="7"/>
      <c r="H102" s="35"/>
      <c r="I102" s="27"/>
      <c r="J102" s="28"/>
      <c r="K102" s="59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65"/>
      <c r="F103" s="6"/>
      <c r="G103" s="7"/>
      <c r="H103" s="35"/>
      <c r="I103" s="27"/>
      <c r="J103" s="28"/>
      <c r="K103" s="59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65"/>
      <c r="F104" s="6"/>
      <c r="G104" s="7"/>
      <c r="H104" s="35"/>
      <c r="I104" s="27"/>
      <c r="J104" s="28"/>
      <c r="K104" s="59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65"/>
      <c r="F105" s="6"/>
      <c r="G105" s="7"/>
      <c r="H105" s="35"/>
      <c r="I105" s="27"/>
      <c r="J105" s="28"/>
      <c r="K105" s="59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65"/>
      <c r="F106" s="6"/>
      <c r="G106" s="7"/>
      <c r="H106" s="35"/>
      <c r="I106" s="27"/>
      <c r="J106" s="28"/>
      <c r="K106" s="59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65"/>
      <c r="F107" s="6"/>
      <c r="G107" s="7"/>
      <c r="H107" s="35"/>
      <c r="I107" s="27"/>
      <c r="J107" s="28"/>
      <c r="K107" s="59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65"/>
      <c r="F108" s="6"/>
      <c r="G108" s="7"/>
      <c r="H108" s="35"/>
      <c r="I108" s="27"/>
      <c r="J108" s="28"/>
      <c r="K108" s="59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65"/>
      <c r="F109" s="6"/>
      <c r="G109" s="7"/>
      <c r="H109" s="35"/>
      <c r="I109" s="27"/>
      <c r="J109" s="28"/>
      <c r="K109" s="59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65"/>
      <c r="F110" s="6"/>
      <c r="G110" s="7"/>
      <c r="H110" s="35"/>
      <c r="I110" s="27"/>
      <c r="J110" s="28"/>
      <c r="K110" s="59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65"/>
      <c r="F111" s="6"/>
      <c r="G111" s="7"/>
      <c r="H111" s="35"/>
      <c r="I111" s="27"/>
      <c r="J111" s="28"/>
      <c r="K111" s="59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65"/>
      <c r="F112" s="6"/>
      <c r="G112" s="7"/>
      <c r="H112" s="35"/>
      <c r="I112" s="27"/>
      <c r="J112" s="28"/>
      <c r="K112" s="59"/>
      <c r="L112" s="3"/>
      <c r="M112" s="7"/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65"/>
      <c r="F113" s="6"/>
      <c r="G113" s="7"/>
      <c r="H113" s="35"/>
      <c r="I113" s="27"/>
      <c r="J113" s="28"/>
      <c r="K113" s="59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65"/>
      <c r="F114" s="6"/>
      <c r="G114" s="7"/>
      <c r="H114" s="35"/>
      <c r="I114" s="27"/>
      <c r="J114" s="28"/>
      <c r="K114" s="59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65"/>
      <c r="F115" s="6"/>
      <c r="G115" s="7"/>
      <c r="H115" s="35"/>
      <c r="I115" s="27"/>
      <c r="J115" s="28"/>
      <c r="K115" s="59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65"/>
      <c r="F116" s="6"/>
      <c r="G116" s="7"/>
      <c r="H116" s="35"/>
      <c r="I116" s="27"/>
      <c r="J116" s="28"/>
      <c r="K116" s="59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65"/>
      <c r="F117" s="6"/>
      <c r="G117" s="7"/>
      <c r="H117" s="35"/>
      <c r="I117" s="27"/>
      <c r="J117" s="28"/>
      <c r="K117" s="59"/>
      <c r="L117" s="3"/>
      <c r="M117" s="7"/>
      <c r="O117" s="7"/>
      <c r="Q117" s="7"/>
      <c r="S117" s="7"/>
      <c r="U117" s="7"/>
      <c r="W117" s="7"/>
    </row>
    <row r="118">
      <c r="A118" s="50"/>
      <c r="B118" s="53"/>
      <c r="C118" s="27"/>
      <c r="D118" s="28"/>
      <c r="E118" s="65"/>
      <c r="F118" s="6"/>
      <c r="G118" s="7"/>
      <c r="H118" s="35"/>
      <c r="I118" s="27"/>
      <c r="J118" s="28"/>
      <c r="K118" s="59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7"/>
      <c r="D119" s="28"/>
      <c r="E119" s="65"/>
      <c r="F119" s="6">
        <f>SUM(F90:F96)</f>
        <v>0</v>
      </c>
      <c r="G119" s="7"/>
      <c r="H119" s="35" t="s">
        <v>17</v>
      </c>
      <c r="I119" s="27"/>
      <c r="J119" s="28"/>
      <c r="K119" s="60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E120" s="67"/>
      <c r="F120" s="7"/>
      <c r="G120" s="7"/>
      <c r="I120" s="7"/>
      <c r="K120" s="62"/>
      <c r="L120" s="7"/>
      <c r="M120" s="7"/>
      <c r="O120" s="7"/>
      <c r="Q120" s="7"/>
      <c r="S120" s="7"/>
      <c r="U120" s="7"/>
      <c r="W120" s="7"/>
    </row>
    <row r="121">
      <c r="B121" s="26" t="s">
        <v>28</v>
      </c>
      <c r="C121" s="27"/>
      <c r="D121" s="27"/>
      <c r="E121" s="27"/>
      <c r="F121" s="28"/>
      <c r="G121" s="7"/>
      <c r="I121" s="7"/>
      <c r="K121" s="62"/>
      <c r="L121" s="7"/>
      <c r="M121" s="7"/>
      <c r="O121" s="7"/>
      <c r="Q121" s="7"/>
      <c r="S121" s="7"/>
      <c r="U121" s="7"/>
      <c r="W121" s="7"/>
    </row>
    <row r="122">
      <c r="B122" s="26" t="s">
        <v>33</v>
      </c>
      <c r="C122" s="27"/>
      <c r="D122" s="28"/>
      <c r="E122" s="30" t="s">
        <v>34</v>
      </c>
      <c r="F122" s="31" t="s">
        <v>35</v>
      </c>
      <c r="G122" s="7"/>
      <c r="I122" s="7"/>
      <c r="K122" s="62"/>
      <c r="L122" s="7"/>
      <c r="M122" s="7"/>
      <c r="O122" s="7"/>
      <c r="Q122" s="7"/>
      <c r="S122" s="7"/>
      <c r="U122" s="7"/>
      <c r="W122" s="7"/>
    </row>
    <row r="123">
      <c r="B123" s="26" t="s">
        <v>86</v>
      </c>
      <c r="C123" s="27"/>
      <c r="D123" s="28"/>
      <c r="E123" s="63">
        <v>43748.0</v>
      </c>
      <c r="F123" s="31">
        <v>43.01</v>
      </c>
      <c r="G123" s="7"/>
      <c r="I123" s="7"/>
      <c r="K123" s="62"/>
      <c r="L123" s="7"/>
      <c r="M123" s="7"/>
      <c r="O123" s="7"/>
      <c r="Q123" s="7"/>
      <c r="S123" s="7"/>
      <c r="U123" s="7"/>
      <c r="W123" s="7"/>
    </row>
    <row r="124">
      <c r="B124" s="26" t="s">
        <v>128</v>
      </c>
      <c r="C124" s="27"/>
      <c r="D124" s="28"/>
      <c r="E124" s="64">
        <v>43749.0</v>
      </c>
      <c r="F124" s="31">
        <v>22.0</v>
      </c>
      <c r="G124" s="7"/>
      <c r="I124" s="7"/>
      <c r="K124" s="62"/>
      <c r="L124" s="7"/>
      <c r="M124" s="7"/>
      <c r="O124" s="7"/>
      <c r="Q124" s="7"/>
      <c r="S124" s="7"/>
      <c r="U124" s="7"/>
      <c r="W124" s="7"/>
    </row>
    <row r="125">
      <c r="B125" s="26" t="s">
        <v>86</v>
      </c>
      <c r="C125" s="27"/>
      <c r="D125" s="28"/>
      <c r="E125" s="63">
        <v>43756.0</v>
      </c>
      <c r="F125" s="31">
        <v>40.0</v>
      </c>
      <c r="G125" s="7"/>
      <c r="I125" s="7"/>
      <c r="K125" s="62"/>
      <c r="L125" s="7"/>
      <c r="M125" s="7"/>
      <c r="O125" s="7"/>
      <c r="Q125" s="7"/>
      <c r="S125" s="7"/>
      <c r="U125" s="7"/>
      <c r="W125" s="7"/>
    </row>
    <row r="126">
      <c r="B126" s="26" t="s">
        <v>86</v>
      </c>
      <c r="C126" s="27"/>
      <c r="D126" s="28"/>
      <c r="E126" s="38">
        <v>43768.0</v>
      </c>
      <c r="F126" s="31">
        <v>40.5</v>
      </c>
      <c r="G126" s="7"/>
      <c r="I126" s="7"/>
      <c r="K126" s="62"/>
      <c r="L126" s="7"/>
      <c r="M126" s="7"/>
      <c r="O126" s="7"/>
      <c r="Q126" s="7"/>
      <c r="S126" s="7"/>
      <c r="U126" s="7"/>
      <c r="W126" s="7"/>
    </row>
    <row r="127">
      <c r="B127" s="26"/>
      <c r="C127" s="27"/>
      <c r="D127" s="28"/>
      <c r="E127" s="63"/>
      <c r="F127" s="31"/>
      <c r="G127" s="7"/>
      <c r="I127" s="7"/>
      <c r="K127" s="62"/>
      <c r="L127" s="7"/>
      <c r="M127" s="7"/>
      <c r="O127" s="7"/>
      <c r="Q127" s="7"/>
      <c r="S127" s="7"/>
      <c r="U127" s="7"/>
      <c r="W127" s="7"/>
    </row>
    <row r="128">
      <c r="B128" s="26"/>
      <c r="C128" s="27"/>
      <c r="D128" s="28"/>
      <c r="E128" s="63"/>
      <c r="F128" s="31"/>
      <c r="G128" s="7"/>
      <c r="I128" s="7"/>
      <c r="K128" s="62"/>
      <c r="L128" s="7"/>
      <c r="M128" s="7"/>
      <c r="O128" s="7"/>
      <c r="Q128" s="7"/>
      <c r="S128" s="7"/>
      <c r="U128" s="7"/>
      <c r="W128" s="7"/>
    </row>
    <row r="129">
      <c r="B129" s="26"/>
      <c r="C129" s="27"/>
      <c r="D129" s="28"/>
      <c r="E129" s="63"/>
      <c r="F129" s="31"/>
      <c r="G129" s="7"/>
      <c r="I129" s="7"/>
      <c r="K129" s="62"/>
      <c r="L129" s="7"/>
      <c r="M129" s="7"/>
      <c r="O129" s="7"/>
      <c r="Q129" s="7"/>
      <c r="S129" s="7"/>
      <c r="U129" s="7"/>
      <c r="W129" s="7"/>
    </row>
    <row r="130">
      <c r="B130" s="26"/>
      <c r="C130" s="27"/>
      <c r="D130" s="28"/>
      <c r="E130" s="63"/>
      <c r="F130" s="31"/>
      <c r="G130" s="7"/>
      <c r="I130" s="7"/>
      <c r="K130" s="62"/>
      <c r="L130" s="7"/>
      <c r="M130" s="7"/>
      <c r="O130" s="7"/>
      <c r="Q130" s="7"/>
      <c r="S130" s="7"/>
      <c r="U130" s="7"/>
      <c r="W130" s="7"/>
    </row>
    <row r="131">
      <c r="B131" s="26"/>
      <c r="C131" s="27"/>
      <c r="D131" s="28"/>
      <c r="E131" s="63"/>
      <c r="F131" s="31"/>
      <c r="G131" s="7"/>
      <c r="I131" s="7"/>
      <c r="K131" s="62"/>
      <c r="L131" s="7"/>
      <c r="M131" s="7"/>
      <c r="O131" s="7"/>
      <c r="Q131" s="7"/>
      <c r="S131" s="7"/>
      <c r="U131" s="7"/>
      <c r="W131" s="7"/>
    </row>
    <row r="132">
      <c r="B132" s="26"/>
      <c r="C132" s="27"/>
      <c r="D132" s="28"/>
      <c r="E132" s="63"/>
      <c r="F132" s="31"/>
      <c r="G132" s="7"/>
      <c r="I132" s="7"/>
      <c r="K132" s="62"/>
      <c r="L132" s="7"/>
      <c r="M132" s="7"/>
      <c r="O132" s="7"/>
      <c r="Q132" s="7"/>
      <c r="S132" s="7"/>
      <c r="U132" s="7"/>
      <c r="W132" s="7"/>
    </row>
    <row r="133">
      <c r="B133" s="26"/>
      <c r="C133" s="27"/>
      <c r="D133" s="28"/>
      <c r="E133" s="63"/>
      <c r="F133" s="31"/>
      <c r="G133" s="7"/>
      <c r="I133" s="7"/>
      <c r="K133" s="62"/>
      <c r="L133" s="7"/>
      <c r="M133" s="7"/>
      <c r="O133" s="7"/>
      <c r="Q133" s="7"/>
      <c r="S133" s="7"/>
      <c r="U133" s="7"/>
      <c r="W133" s="7"/>
    </row>
    <row r="134">
      <c r="B134" s="26"/>
      <c r="C134" s="27"/>
      <c r="D134" s="28"/>
      <c r="E134" s="63"/>
      <c r="F134" s="31"/>
      <c r="G134" s="7"/>
      <c r="I134" s="7"/>
      <c r="K134" s="62"/>
      <c r="L134" s="7"/>
      <c r="M134" s="7"/>
      <c r="O134" s="7"/>
      <c r="Q134" s="7"/>
      <c r="S134" s="7"/>
      <c r="U134" s="7"/>
      <c r="W134" s="7"/>
    </row>
    <row r="135">
      <c r="B135" s="26"/>
      <c r="C135" s="27"/>
      <c r="D135" s="28"/>
      <c r="E135" s="63"/>
      <c r="F135" s="31"/>
      <c r="G135" s="7"/>
      <c r="I135" s="7"/>
      <c r="K135" s="62"/>
      <c r="L135" s="7"/>
      <c r="M135" s="7"/>
      <c r="O135" s="7"/>
      <c r="Q135" s="7"/>
      <c r="S135" s="7"/>
      <c r="U135" s="7"/>
      <c r="W135" s="7"/>
    </row>
    <row r="136">
      <c r="B136" s="26"/>
      <c r="C136" s="27"/>
      <c r="D136" s="28"/>
      <c r="E136" s="63"/>
      <c r="F136" s="31"/>
      <c r="G136" s="7"/>
      <c r="I136" s="7"/>
      <c r="K136" s="62"/>
      <c r="L136" s="7"/>
      <c r="M136" s="7"/>
      <c r="O136" s="7"/>
      <c r="Q136" s="7"/>
      <c r="S136" s="7"/>
      <c r="U136" s="7"/>
      <c r="W136" s="7"/>
    </row>
    <row r="137">
      <c r="B137" s="26"/>
      <c r="C137" s="27"/>
      <c r="D137" s="28"/>
      <c r="E137" s="63"/>
      <c r="F137" s="31"/>
      <c r="G137" s="7"/>
      <c r="I137" s="7"/>
      <c r="K137" s="62"/>
      <c r="L137" s="7"/>
      <c r="M137" s="7"/>
      <c r="O137" s="7"/>
      <c r="Q137" s="7"/>
      <c r="S137" s="7"/>
      <c r="U137" s="7"/>
      <c r="W137" s="7"/>
    </row>
    <row r="138">
      <c r="B138" s="26"/>
      <c r="C138" s="27"/>
      <c r="D138" s="28"/>
      <c r="E138" s="63"/>
      <c r="F138" s="31"/>
      <c r="G138" s="7"/>
      <c r="I138" s="7"/>
      <c r="K138" s="62"/>
      <c r="L138" s="7"/>
      <c r="M138" s="7"/>
      <c r="O138" s="7"/>
      <c r="Q138" s="7"/>
      <c r="S138" s="7"/>
      <c r="U138" s="7"/>
      <c r="W138" s="7"/>
    </row>
    <row r="139">
      <c r="B139" s="43" t="s">
        <v>17</v>
      </c>
      <c r="C139" s="27"/>
      <c r="D139" s="27"/>
      <c r="E139" s="28"/>
      <c r="F139" s="31">
        <f>SUM(F123:F138)</f>
        <v>145.51</v>
      </c>
      <c r="G139" s="7"/>
      <c r="I139" s="7"/>
      <c r="K139" s="62"/>
      <c r="L139" s="7"/>
      <c r="M139" s="7"/>
      <c r="O139" s="7"/>
      <c r="Q139" s="7"/>
      <c r="S139" s="7"/>
      <c r="U139" s="7"/>
      <c r="W139" s="7"/>
    </row>
    <row r="140">
      <c r="E140" s="67"/>
      <c r="F140" s="7"/>
      <c r="G140" s="7"/>
      <c r="I140" s="7"/>
      <c r="K140" s="62"/>
      <c r="L140" s="7"/>
      <c r="M140" s="7"/>
      <c r="O140" s="7"/>
      <c r="Q140" s="7"/>
      <c r="S140" s="7"/>
      <c r="U140" s="7"/>
      <c r="W140" s="7"/>
    </row>
    <row r="141">
      <c r="E141" s="67"/>
      <c r="F141" s="7"/>
      <c r="G141" s="7"/>
      <c r="I141" s="7"/>
      <c r="K141" s="62"/>
      <c r="L141" s="7"/>
      <c r="M141" s="7"/>
      <c r="O141" s="7"/>
      <c r="Q141" s="7"/>
      <c r="S141" s="7"/>
      <c r="U141" s="7"/>
      <c r="W141" s="7"/>
    </row>
    <row r="142">
      <c r="E142" s="67"/>
      <c r="F142" s="7"/>
      <c r="G142" s="7"/>
      <c r="I142" s="7"/>
      <c r="K142" s="62"/>
      <c r="L142" s="7"/>
      <c r="M142" s="7"/>
      <c r="O142" s="7"/>
      <c r="Q142" s="7"/>
      <c r="S142" s="7"/>
      <c r="U142" s="7"/>
      <c r="W142" s="7"/>
    </row>
    <row r="143">
      <c r="E143" s="67"/>
      <c r="F143" s="7"/>
      <c r="G143" s="7"/>
      <c r="I143" s="7"/>
      <c r="K143" s="62"/>
      <c r="L143" s="7"/>
      <c r="M143" s="7"/>
      <c r="O143" s="7"/>
      <c r="Q143" s="7"/>
      <c r="S143" s="7"/>
      <c r="U143" s="7"/>
      <c r="W143" s="7"/>
    </row>
    <row r="144">
      <c r="E144" s="67"/>
      <c r="F144" s="7"/>
      <c r="G144" s="7"/>
      <c r="I144" s="7"/>
      <c r="K144" s="62"/>
      <c r="L144" s="7"/>
      <c r="M144" s="7"/>
      <c r="O144" s="7"/>
      <c r="Q144" s="7"/>
      <c r="S144" s="7"/>
      <c r="U144" s="7"/>
      <c r="W144" s="7"/>
    </row>
    <row r="145">
      <c r="E145" s="67"/>
      <c r="F145" s="7"/>
      <c r="G145" s="7"/>
      <c r="I145" s="7"/>
      <c r="K145" s="62"/>
      <c r="L145" s="7"/>
      <c r="M145" s="7"/>
      <c r="O145" s="7"/>
      <c r="Q145" s="7"/>
      <c r="S145" s="7"/>
      <c r="U145" s="7"/>
      <c r="W145" s="7"/>
    </row>
    <row r="146">
      <c r="E146" s="67"/>
      <c r="F146" s="7"/>
      <c r="G146" s="7"/>
      <c r="I146" s="7"/>
      <c r="K146" s="62"/>
      <c r="L146" s="7"/>
      <c r="M146" s="7"/>
      <c r="O146" s="7"/>
      <c r="Q146" s="7"/>
      <c r="S146" s="7"/>
      <c r="U146" s="7"/>
      <c r="W146" s="7"/>
    </row>
    <row r="147">
      <c r="E147" s="67"/>
      <c r="F147" s="7"/>
      <c r="G147" s="7"/>
      <c r="I147" s="7"/>
      <c r="K147" s="62"/>
      <c r="L147" s="7"/>
      <c r="M147" s="7"/>
      <c r="O147" s="7"/>
      <c r="Q147" s="7"/>
      <c r="S147" s="7"/>
      <c r="U147" s="7"/>
      <c r="W147" s="7"/>
    </row>
    <row r="148">
      <c r="E148" s="67"/>
      <c r="F148" s="7"/>
      <c r="G148" s="7"/>
      <c r="I148" s="7"/>
      <c r="K148" s="62"/>
      <c r="L148" s="7"/>
      <c r="M148" s="7"/>
      <c r="O148" s="7"/>
      <c r="Q148" s="7"/>
      <c r="S148" s="7"/>
      <c r="U148" s="7"/>
      <c r="W148" s="7"/>
    </row>
    <row r="149">
      <c r="E149" s="67"/>
      <c r="F149" s="7"/>
      <c r="G149" s="7"/>
      <c r="I149" s="7"/>
      <c r="K149" s="62"/>
      <c r="L149" s="7"/>
      <c r="M149" s="7"/>
      <c r="O149" s="7"/>
      <c r="Q149" s="7"/>
      <c r="S149" s="7"/>
      <c r="U149" s="7"/>
      <c r="W149" s="7"/>
    </row>
    <row r="150">
      <c r="E150" s="67"/>
      <c r="F150" s="7"/>
      <c r="G150" s="7"/>
      <c r="I150" s="7"/>
      <c r="K150" s="62"/>
      <c r="L150" s="7"/>
      <c r="M150" s="7"/>
      <c r="O150" s="7"/>
      <c r="Q150" s="7"/>
      <c r="S150" s="7"/>
      <c r="U150" s="7"/>
      <c r="W150" s="7"/>
    </row>
    <row r="151">
      <c r="E151" s="67"/>
      <c r="F151" s="7"/>
      <c r="G151" s="7"/>
      <c r="I151" s="7"/>
      <c r="K151" s="62"/>
      <c r="L151" s="7"/>
      <c r="M151" s="7"/>
      <c r="O151" s="7"/>
      <c r="Q151" s="7"/>
      <c r="S151" s="7"/>
      <c r="U151" s="7"/>
      <c r="W151" s="7"/>
    </row>
    <row r="152">
      <c r="E152" s="67"/>
      <c r="F152" s="7"/>
      <c r="G152" s="7"/>
      <c r="I152" s="7"/>
      <c r="K152" s="62"/>
      <c r="L152" s="7"/>
      <c r="M152" s="7"/>
      <c r="O152" s="7"/>
      <c r="Q152" s="7"/>
      <c r="S152" s="7"/>
      <c r="U152" s="7"/>
      <c r="W152" s="7"/>
    </row>
    <row r="153">
      <c r="E153" s="67"/>
      <c r="F153" s="7"/>
      <c r="G153" s="7"/>
      <c r="I153" s="7"/>
      <c r="K153" s="62"/>
      <c r="L153" s="7"/>
      <c r="M153" s="7"/>
      <c r="O153" s="7"/>
      <c r="Q153" s="7"/>
      <c r="S153" s="7"/>
      <c r="U153" s="7"/>
      <c r="W153" s="7"/>
    </row>
    <row r="154">
      <c r="E154" s="67"/>
      <c r="F154" s="7"/>
      <c r="G154" s="7"/>
      <c r="I154" s="7"/>
      <c r="K154" s="62"/>
      <c r="L154" s="7"/>
      <c r="M154" s="7"/>
      <c r="O154" s="7"/>
      <c r="Q154" s="7"/>
      <c r="S154" s="7"/>
      <c r="U154" s="7"/>
      <c r="W154" s="7"/>
    </row>
    <row r="155">
      <c r="E155" s="67"/>
      <c r="F155" s="7"/>
      <c r="G155" s="7"/>
      <c r="I155" s="7"/>
      <c r="K155" s="62"/>
      <c r="L155" s="7"/>
      <c r="M155" s="7"/>
      <c r="O155" s="7"/>
      <c r="Q155" s="7"/>
      <c r="S155" s="7"/>
      <c r="U155" s="7"/>
      <c r="W155" s="7"/>
    </row>
    <row r="156">
      <c r="E156" s="67"/>
      <c r="F156" s="7"/>
      <c r="G156" s="7"/>
      <c r="I156" s="7"/>
      <c r="K156" s="62"/>
      <c r="L156" s="7"/>
      <c r="M156" s="7"/>
      <c r="O156" s="7"/>
      <c r="Q156" s="7"/>
      <c r="S156" s="7"/>
      <c r="U156" s="7"/>
      <c r="W156" s="7"/>
    </row>
    <row r="157">
      <c r="E157" s="67"/>
      <c r="F157" s="7"/>
      <c r="G157" s="7"/>
      <c r="I157" s="7"/>
      <c r="K157" s="62"/>
      <c r="L157" s="7"/>
      <c r="M157" s="7"/>
      <c r="O157" s="7"/>
      <c r="Q157" s="7"/>
      <c r="S157" s="7"/>
      <c r="U157" s="7"/>
      <c r="W157" s="7"/>
    </row>
    <row r="158">
      <c r="E158" s="67"/>
      <c r="F158" s="7"/>
      <c r="G158" s="7"/>
      <c r="I158" s="7"/>
      <c r="K158" s="62"/>
      <c r="L158" s="7"/>
      <c r="M158" s="7"/>
      <c r="O158" s="7"/>
      <c r="Q158" s="7"/>
      <c r="S158" s="7"/>
      <c r="U158" s="7"/>
      <c r="W158" s="7"/>
    </row>
    <row r="159">
      <c r="E159" s="67"/>
      <c r="F159" s="7"/>
      <c r="G159" s="7"/>
      <c r="I159" s="7"/>
      <c r="K159" s="62"/>
      <c r="L159" s="7"/>
      <c r="M159" s="7"/>
      <c r="O159" s="7"/>
      <c r="Q159" s="7"/>
      <c r="S159" s="7"/>
      <c r="U159" s="7"/>
      <c r="W159" s="7"/>
    </row>
    <row r="160">
      <c r="E160" s="67"/>
      <c r="F160" s="7"/>
      <c r="G160" s="7"/>
      <c r="I160" s="7"/>
      <c r="K160" s="62"/>
      <c r="L160" s="7"/>
      <c r="M160" s="7"/>
      <c r="O160" s="7"/>
      <c r="Q160" s="7"/>
      <c r="S160" s="7"/>
      <c r="U160" s="7"/>
      <c r="W160" s="7"/>
    </row>
    <row r="161">
      <c r="E161" s="67"/>
      <c r="F161" s="7"/>
      <c r="G161" s="7"/>
      <c r="I161" s="7"/>
      <c r="K161" s="62"/>
      <c r="L161" s="7"/>
      <c r="M161" s="7"/>
      <c r="O161" s="7"/>
      <c r="Q161" s="7"/>
      <c r="S161" s="7"/>
      <c r="U161" s="7"/>
      <c r="W161" s="7"/>
    </row>
    <row r="162">
      <c r="E162" s="67"/>
      <c r="F162" s="7"/>
      <c r="G162" s="7"/>
      <c r="I162" s="7"/>
      <c r="K162" s="62"/>
      <c r="L162" s="7"/>
      <c r="M162" s="7"/>
      <c r="O162" s="7"/>
      <c r="Q162" s="7"/>
      <c r="S162" s="7"/>
      <c r="U162" s="7"/>
      <c r="W162" s="7"/>
    </row>
    <row r="163">
      <c r="E163" s="67"/>
      <c r="F163" s="7"/>
      <c r="G163" s="7"/>
      <c r="I163" s="7"/>
      <c r="K163" s="62"/>
      <c r="L163" s="7"/>
      <c r="M163" s="7"/>
      <c r="O163" s="7"/>
      <c r="Q163" s="7"/>
      <c r="S163" s="7"/>
      <c r="U163" s="7"/>
      <c r="W163" s="7"/>
    </row>
    <row r="164">
      <c r="E164" s="67"/>
      <c r="F164" s="7"/>
      <c r="G164" s="7"/>
      <c r="I164" s="7"/>
      <c r="K164" s="62"/>
      <c r="L164" s="7"/>
      <c r="M164" s="7"/>
      <c r="O164" s="7"/>
      <c r="Q164" s="7"/>
      <c r="S164" s="7"/>
      <c r="U164" s="7"/>
      <c r="W164" s="7"/>
    </row>
    <row r="165">
      <c r="E165" s="67"/>
      <c r="F165" s="7"/>
      <c r="G165" s="7"/>
      <c r="I165" s="7"/>
      <c r="K165" s="62"/>
      <c r="L165" s="7"/>
      <c r="M165" s="7"/>
      <c r="O165" s="7"/>
      <c r="Q165" s="7"/>
      <c r="S165" s="7"/>
      <c r="U165" s="7"/>
      <c r="W165" s="7"/>
    </row>
    <row r="166">
      <c r="E166" s="67"/>
      <c r="F166" s="7"/>
      <c r="G166" s="7"/>
      <c r="I166" s="7"/>
      <c r="K166" s="62"/>
      <c r="L166" s="7"/>
      <c r="M166" s="7"/>
      <c r="O166" s="7"/>
      <c r="Q166" s="7"/>
      <c r="S166" s="7"/>
      <c r="U166" s="7"/>
      <c r="W166" s="7"/>
    </row>
    <row r="167">
      <c r="E167" s="67"/>
      <c r="F167" s="7"/>
      <c r="G167" s="7"/>
      <c r="I167" s="7"/>
      <c r="K167" s="62"/>
      <c r="L167" s="7"/>
      <c r="M167" s="7"/>
      <c r="O167" s="7"/>
      <c r="Q167" s="7"/>
      <c r="S167" s="7"/>
      <c r="U167" s="7"/>
      <c r="W167" s="7"/>
    </row>
    <row r="168">
      <c r="E168" s="67"/>
      <c r="F168" s="7"/>
      <c r="G168" s="7"/>
      <c r="I168" s="7"/>
      <c r="K168" s="62"/>
      <c r="L168" s="7"/>
      <c r="M168" s="7"/>
      <c r="O168" s="7"/>
      <c r="Q168" s="7"/>
      <c r="S168" s="7"/>
      <c r="U168" s="7"/>
      <c r="W168" s="7"/>
    </row>
    <row r="169">
      <c r="E169" s="67"/>
      <c r="F169" s="7"/>
      <c r="G169" s="7"/>
      <c r="I169" s="7"/>
      <c r="K169" s="62"/>
      <c r="L169" s="7"/>
      <c r="M169" s="7"/>
      <c r="O169" s="7"/>
      <c r="Q169" s="7"/>
      <c r="S169" s="7"/>
      <c r="U169" s="7"/>
      <c r="W169" s="7"/>
    </row>
    <row r="170">
      <c r="E170" s="67"/>
      <c r="F170" s="7"/>
      <c r="G170" s="7"/>
      <c r="I170" s="7"/>
      <c r="K170" s="62"/>
      <c r="L170" s="7"/>
      <c r="M170" s="7"/>
      <c r="O170" s="7"/>
      <c r="Q170" s="7"/>
      <c r="S170" s="7"/>
      <c r="U170" s="7"/>
      <c r="W170" s="7"/>
    </row>
    <row r="171">
      <c r="E171" s="67"/>
      <c r="F171" s="7"/>
      <c r="G171" s="7"/>
      <c r="I171" s="7"/>
      <c r="K171" s="62"/>
      <c r="L171" s="7"/>
      <c r="M171" s="7"/>
      <c r="O171" s="7"/>
      <c r="Q171" s="7"/>
      <c r="S171" s="7"/>
      <c r="U171" s="7"/>
      <c r="W171" s="7"/>
    </row>
    <row r="172">
      <c r="E172" s="67"/>
      <c r="F172" s="7"/>
      <c r="G172" s="7"/>
      <c r="I172" s="7"/>
      <c r="K172" s="62"/>
      <c r="L172" s="7"/>
      <c r="M172" s="7"/>
      <c r="O172" s="7"/>
      <c r="Q172" s="7"/>
      <c r="S172" s="7"/>
      <c r="U172" s="7"/>
      <c r="W172" s="7"/>
    </row>
    <row r="173">
      <c r="E173" s="67"/>
      <c r="F173" s="7"/>
      <c r="G173" s="7"/>
      <c r="I173" s="7"/>
      <c r="K173" s="62"/>
      <c r="L173" s="7"/>
      <c r="M173" s="7"/>
      <c r="O173" s="7"/>
      <c r="Q173" s="7"/>
      <c r="S173" s="7"/>
      <c r="U173" s="7"/>
      <c r="W173" s="7"/>
    </row>
    <row r="174">
      <c r="E174" s="67"/>
      <c r="F174" s="7"/>
      <c r="G174" s="7"/>
      <c r="I174" s="7"/>
      <c r="K174" s="62"/>
      <c r="L174" s="7"/>
      <c r="M174" s="7"/>
      <c r="O174" s="7"/>
      <c r="Q174" s="7"/>
      <c r="S174" s="7"/>
      <c r="U174" s="7"/>
      <c r="W174" s="7"/>
    </row>
    <row r="175">
      <c r="E175" s="67"/>
      <c r="F175" s="7"/>
      <c r="G175" s="7"/>
      <c r="I175" s="7"/>
      <c r="K175" s="62"/>
      <c r="L175" s="7"/>
      <c r="M175" s="7"/>
      <c r="O175" s="7"/>
      <c r="Q175" s="7"/>
      <c r="S175" s="7"/>
      <c r="U175" s="7"/>
      <c r="W175" s="7"/>
    </row>
    <row r="176">
      <c r="E176" s="67"/>
      <c r="F176" s="7"/>
      <c r="G176" s="7"/>
      <c r="I176" s="7"/>
      <c r="K176" s="62"/>
      <c r="L176" s="7"/>
      <c r="M176" s="7"/>
      <c r="O176" s="7"/>
      <c r="Q176" s="7"/>
      <c r="S176" s="7"/>
      <c r="U176" s="7"/>
      <c r="W176" s="7"/>
    </row>
    <row r="177">
      <c r="E177" s="67"/>
      <c r="F177" s="7"/>
      <c r="G177" s="7"/>
      <c r="I177" s="7"/>
      <c r="K177" s="62"/>
      <c r="L177" s="7"/>
      <c r="M177" s="7"/>
      <c r="O177" s="7"/>
      <c r="Q177" s="7"/>
      <c r="S177" s="7"/>
      <c r="U177" s="7"/>
      <c r="W177" s="7"/>
    </row>
    <row r="178">
      <c r="E178" s="67"/>
      <c r="F178" s="7"/>
      <c r="G178" s="7"/>
      <c r="I178" s="7"/>
      <c r="K178" s="62"/>
      <c r="L178" s="7"/>
      <c r="M178" s="7"/>
      <c r="O178" s="7"/>
      <c r="Q178" s="7"/>
      <c r="S178" s="7"/>
      <c r="U178" s="7"/>
      <c r="W178" s="7"/>
    </row>
    <row r="179">
      <c r="E179" s="67"/>
      <c r="F179" s="7"/>
      <c r="G179" s="7"/>
      <c r="I179" s="7"/>
      <c r="K179" s="62"/>
      <c r="L179" s="7"/>
      <c r="M179" s="7"/>
      <c r="O179" s="7"/>
      <c r="Q179" s="7"/>
      <c r="S179" s="7"/>
      <c r="U179" s="7"/>
      <c r="W179" s="7"/>
    </row>
    <row r="180">
      <c r="E180" s="67"/>
      <c r="F180" s="7"/>
      <c r="G180" s="7"/>
      <c r="I180" s="7"/>
      <c r="K180" s="62"/>
      <c r="L180" s="7"/>
      <c r="M180" s="7"/>
      <c r="O180" s="7"/>
      <c r="Q180" s="7"/>
      <c r="S180" s="7"/>
      <c r="U180" s="7"/>
      <c r="W180" s="7"/>
    </row>
    <row r="181">
      <c r="E181" s="67"/>
      <c r="F181" s="7"/>
      <c r="G181" s="7"/>
      <c r="I181" s="7"/>
      <c r="K181" s="62"/>
      <c r="L181" s="7"/>
      <c r="M181" s="7"/>
      <c r="O181" s="7"/>
      <c r="Q181" s="7"/>
      <c r="S181" s="7"/>
      <c r="U181" s="7"/>
      <c r="W181" s="7"/>
    </row>
    <row r="182">
      <c r="E182" s="67"/>
      <c r="F182" s="7"/>
      <c r="G182" s="7"/>
      <c r="I182" s="7"/>
      <c r="K182" s="62"/>
      <c r="L182" s="7"/>
      <c r="M182" s="7"/>
      <c r="O182" s="7"/>
      <c r="Q182" s="7"/>
      <c r="S182" s="7"/>
      <c r="U182" s="7"/>
      <c r="W182" s="7"/>
    </row>
    <row r="183">
      <c r="E183" s="67"/>
      <c r="F183" s="7"/>
      <c r="G183" s="7"/>
      <c r="I183" s="7"/>
      <c r="K183" s="62"/>
      <c r="L183" s="7"/>
      <c r="M183" s="7"/>
      <c r="O183" s="7"/>
      <c r="Q183" s="7"/>
      <c r="S183" s="7"/>
      <c r="U183" s="7"/>
      <c r="W183" s="7"/>
    </row>
    <row r="184">
      <c r="E184" s="67"/>
      <c r="F184" s="7"/>
      <c r="G184" s="7"/>
      <c r="I184" s="7"/>
      <c r="K184" s="62"/>
      <c r="L184" s="7"/>
      <c r="M184" s="7"/>
      <c r="O184" s="7"/>
      <c r="Q184" s="7"/>
      <c r="S184" s="7"/>
      <c r="U184" s="7"/>
      <c r="W184" s="7"/>
    </row>
    <row r="185">
      <c r="E185" s="67"/>
      <c r="F185" s="7"/>
      <c r="G185" s="7"/>
      <c r="I185" s="7"/>
      <c r="K185" s="62"/>
      <c r="L185" s="7"/>
      <c r="M185" s="7"/>
      <c r="O185" s="7"/>
      <c r="Q185" s="7"/>
      <c r="S185" s="7"/>
      <c r="U185" s="7"/>
      <c r="W185" s="7"/>
    </row>
    <row r="186">
      <c r="E186" s="67"/>
      <c r="F186" s="7"/>
      <c r="G186" s="7"/>
      <c r="I186" s="7"/>
      <c r="K186" s="62"/>
      <c r="L186" s="7"/>
      <c r="M186" s="7"/>
      <c r="O186" s="7"/>
      <c r="Q186" s="7"/>
      <c r="S186" s="7"/>
      <c r="U186" s="7"/>
      <c r="W186" s="7"/>
    </row>
    <row r="187">
      <c r="E187" s="67"/>
      <c r="F187" s="7"/>
      <c r="G187" s="7"/>
      <c r="I187" s="7"/>
      <c r="K187" s="62"/>
      <c r="L187" s="7"/>
      <c r="M187" s="7"/>
      <c r="O187" s="7"/>
      <c r="Q187" s="7"/>
      <c r="S187" s="7"/>
      <c r="U187" s="7"/>
      <c r="W187" s="7"/>
    </row>
    <row r="188">
      <c r="E188" s="67"/>
      <c r="F188" s="7"/>
      <c r="G188" s="7"/>
      <c r="I188" s="7"/>
      <c r="K188" s="62"/>
      <c r="L188" s="7"/>
      <c r="M188" s="7"/>
      <c r="O188" s="7"/>
      <c r="Q188" s="7"/>
      <c r="S188" s="7"/>
      <c r="U188" s="7"/>
      <c r="W188" s="7"/>
    </row>
    <row r="189">
      <c r="E189" s="67"/>
      <c r="F189" s="7"/>
      <c r="G189" s="7"/>
      <c r="I189" s="7"/>
      <c r="K189" s="62"/>
      <c r="L189" s="7"/>
      <c r="M189" s="7"/>
      <c r="O189" s="7"/>
      <c r="Q189" s="7"/>
      <c r="S189" s="7"/>
      <c r="U189" s="7"/>
      <c r="W189" s="7"/>
    </row>
    <row r="190">
      <c r="E190" s="67"/>
      <c r="F190" s="7"/>
      <c r="G190" s="7"/>
      <c r="I190" s="7"/>
      <c r="K190" s="62"/>
      <c r="L190" s="7"/>
      <c r="M190" s="7"/>
      <c r="O190" s="7"/>
      <c r="Q190" s="7"/>
      <c r="S190" s="7"/>
      <c r="U190" s="7"/>
      <c r="W190" s="7"/>
    </row>
    <row r="191">
      <c r="E191" s="67"/>
      <c r="F191" s="7"/>
      <c r="G191" s="7"/>
      <c r="I191" s="7"/>
      <c r="K191" s="62"/>
      <c r="L191" s="7"/>
      <c r="M191" s="7"/>
      <c r="O191" s="7"/>
      <c r="Q191" s="7"/>
      <c r="S191" s="7"/>
      <c r="U191" s="7"/>
      <c r="W191" s="7"/>
    </row>
    <row r="192">
      <c r="E192" s="67"/>
      <c r="F192" s="7"/>
      <c r="G192" s="7"/>
      <c r="I192" s="7"/>
      <c r="K192" s="62"/>
      <c r="L192" s="7"/>
      <c r="M192" s="7"/>
      <c r="O192" s="7"/>
      <c r="Q192" s="7"/>
      <c r="S192" s="7"/>
      <c r="U192" s="7"/>
      <c r="W192" s="7"/>
    </row>
    <row r="193">
      <c r="E193" s="67"/>
      <c r="F193" s="7"/>
      <c r="G193" s="7"/>
      <c r="I193" s="7"/>
      <c r="K193" s="62"/>
      <c r="L193" s="7"/>
      <c r="M193" s="7"/>
      <c r="O193" s="7"/>
      <c r="Q193" s="7"/>
      <c r="S193" s="7"/>
      <c r="U193" s="7"/>
      <c r="W193" s="7"/>
    </row>
    <row r="194">
      <c r="E194" s="67"/>
      <c r="F194" s="7"/>
      <c r="G194" s="7"/>
      <c r="I194" s="7"/>
      <c r="K194" s="62"/>
      <c r="L194" s="7"/>
      <c r="M194" s="7"/>
      <c r="O194" s="7"/>
      <c r="Q194" s="7"/>
      <c r="S194" s="7"/>
      <c r="U194" s="7"/>
      <c r="W194" s="7"/>
    </row>
    <row r="195">
      <c r="E195" s="67"/>
      <c r="F195" s="7"/>
      <c r="G195" s="7"/>
      <c r="I195" s="7"/>
      <c r="K195" s="62"/>
      <c r="L195" s="7"/>
      <c r="M195" s="7"/>
      <c r="O195" s="7"/>
      <c r="Q195" s="7"/>
      <c r="S195" s="7"/>
      <c r="U195" s="7"/>
      <c r="W195" s="7"/>
    </row>
    <row r="196">
      <c r="E196" s="67"/>
      <c r="F196" s="7"/>
      <c r="G196" s="7"/>
      <c r="I196" s="7"/>
      <c r="K196" s="62"/>
      <c r="L196" s="7"/>
      <c r="M196" s="7"/>
      <c r="O196" s="7"/>
      <c r="Q196" s="7"/>
      <c r="S196" s="7"/>
      <c r="U196" s="7"/>
      <c r="W196" s="7"/>
    </row>
    <row r="197">
      <c r="E197" s="67"/>
      <c r="F197" s="7"/>
      <c r="G197" s="7"/>
      <c r="I197" s="7"/>
      <c r="K197" s="62"/>
      <c r="L197" s="7"/>
      <c r="M197" s="7"/>
      <c r="O197" s="7"/>
      <c r="Q197" s="7"/>
      <c r="S197" s="7"/>
      <c r="U197" s="7"/>
      <c r="W197" s="7"/>
    </row>
    <row r="198">
      <c r="E198" s="67"/>
      <c r="F198" s="7"/>
      <c r="G198" s="7"/>
      <c r="I198" s="7"/>
      <c r="K198" s="62"/>
      <c r="L198" s="7"/>
      <c r="M198" s="7"/>
      <c r="O198" s="7"/>
      <c r="Q198" s="7"/>
      <c r="S198" s="7"/>
      <c r="U198" s="7"/>
      <c r="W198" s="7"/>
    </row>
    <row r="199">
      <c r="E199" s="67"/>
      <c r="F199" s="7"/>
      <c r="G199" s="7"/>
      <c r="I199" s="7"/>
      <c r="K199" s="62"/>
      <c r="L199" s="7"/>
      <c r="M199" s="7"/>
      <c r="O199" s="7"/>
      <c r="Q199" s="7"/>
      <c r="S199" s="7"/>
      <c r="U199" s="7"/>
      <c r="W199" s="7"/>
    </row>
    <row r="200">
      <c r="E200" s="67"/>
      <c r="F200" s="7"/>
      <c r="G200" s="7"/>
      <c r="I200" s="7"/>
      <c r="K200" s="62"/>
      <c r="L200" s="7"/>
      <c r="M200" s="7"/>
      <c r="O200" s="7"/>
      <c r="Q200" s="7"/>
      <c r="S200" s="7"/>
      <c r="U200" s="7"/>
      <c r="W200" s="7"/>
    </row>
    <row r="201">
      <c r="E201" s="67"/>
      <c r="F201" s="7"/>
      <c r="G201" s="7"/>
      <c r="I201" s="7"/>
      <c r="K201" s="62"/>
      <c r="L201" s="7"/>
      <c r="M201" s="7"/>
      <c r="O201" s="7"/>
      <c r="Q201" s="7"/>
      <c r="S201" s="7"/>
      <c r="U201" s="7"/>
      <c r="W201" s="7"/>
    </row>
    <row r="202">
      <c r="E202" s="67"/>
      <c r="F202" s="7"/>
      <c r="G202" s="7"/>
      <c r="I202" s="7"/>
      <c r="K202" s="62"/>
      <c r="L202" s="7"/>
      <c r="M202" s="7"/>
      <c r="O202" s="7"/>
      <c r="Q202" s="7"/>
      <c r="S202" s="7"/>
      <c r="U202" s="7"/>
      <c r="W202" s="7"/>
    </row>
    <row r="203">
      <c r="E203" s="67"/>
      <c r="F203" s="7"/>
      <c r="G203" s="7"/>
      <c r="I203" s="7"/>
      <c r="K203" s="62"/>
      <c r="L203" s="7"/>
      <c r="M203" s="7"/>
      <c r="O203" s="7"/>
      <c r="Q203" s="7"/>
      <c r="S203" s="7"/>
      <c r="U203" s="7"/>
      <c r="W203" s="7"/>
    </row>
    <row r="204">
      <c r="E204" s="67"/>
      <c r="F204" s="7"/>
      <c r="G204" s="7"/>
      <c r="I204" s="7"/>
      <c r="K204" s="62"/>
      <c r="L204" s="7"/>
      <c r="M204" s="7"/>
      <c r="O204" s="7"/>
      <c r="Q204" s="7"/>
      <c r="S204" s="7"/>
      <c r="U204" s="7"/>
      <c r="W204" s="7"/>
    </row>
    <row r="205">
      <c r="E205" s="67"/>
      <c r="F205" s="7"/>
      <c r="G205" s="7"/>
      <c r="I205" s="7"/>
      <c r="K205" s="62"/>
      <c r="L205" s="7"/>
      <c r="M205" s="7"/>
      <c r="O205" s="7"/>
      <c r="Q205" s="7"/>
      <c r="S205" s="7"/>
      <c r="U205" s="7"/>
      <c r="W205" s="7"/>
    </row>
    <row r="206">
      <c r="E206" s="67"/>
      <c r="F206" s="7"/>
      <c r="G206" s="7"/>
      <c r="I206" s="7"/>
      <c r="K206" s="62"/>
      <c r="L206" s="7"/>
      <c r="M206" s="7"/>
      <c r="O206" s="7"/>
      <c r="Q206" s="7"/>
      <c r="S206" s="7"/>
      <c r="U206" s="7"/>
      <c r="W206" s="7"/>
    </row>
    <row r="207">
      <c r="E207" s="67"/>
      <c r="F207" s="7"/>
      <c r="G207" s="7"/>
      <c r="I207" s="7"/>
      <c r="K207" s="62"/>
      <c r="L207" s="7"/>
      <c r="M207" s="7"/>
      <c r="O207" s="7"/>
      <c r="Q207" s="7"/>
      <c r="S207" s="7"/>
      <c r="U207" s="7"/>
      <c r="W207" s="7"/>
    </row>
    <row r="208">
      <c r="E208" s="67"/>
      <c r="F208" s="7"/>
      <c r="G208" s="7"/>
      <c r="I208" s="7"/>
      <c r="K208" s="62"/>
      <c r="L208" s="7"/>
      <c r="M208" s="7"/>
      <c r="O208" s="7"/>
      <c r="Q208" s="7"/>
      <c r="S208" s="7"/>
      <c r="U208" s="7"/>
      <c r="W208" s="7"/>
    </row>
    <row r="209">
      <c r="E209" s="67"/>
      <c r="F209" s="7"/>
      <c r="G209" s="7"/>
      <c r="I209" s="7"/>
      <c r="K209" s="62"/>
      <c r="L209" s="7"/>
      <c r="M209" s="7"/>
      <c r="O209" s="7"/>
      <c r="Q209" s="7"/>
      <c r="S209" s="7"/>
      <c r="U209" s="7"/>
      <c r="W209" s="7"/>
    </row>
    <row r="210">
      <c r="E210" s="67"/>
      <c r="F210" s="7"/>
      <c r="G210" s="7"/>
      <c r="I210" s="7"/>
      <c r="K210" s="62"/>
      <c r="L210" s="7"/>
      <c r="M210" s="7"/>
      <c r="O210" s="7"/>
      <c r="Q210" s="7"/>
      <c r="S210" s="7"/>
      <c r="U210" s="7"/>
      <c r="W210" s="7"/>
    </row>
    <row r="211">
      <c r="E211" s="67"/>
      <c r="F211" s="7"/>
      <c r="G211" s="7"/>
      <c r="I211" s="7"/>
      <c r="K211" s="62"/>
      <c r="L211" s="7"/>
      <c r="M211" s="7"/>
      <c r="O211" s="7"/>
      <c r="Q211" s="7"/>
      <c r="S211" s="7"/>
      <c r="U211" s="7"/>
      <c r="W211" s="7"/>
    </row>
    <row r="212">
      <c r="E212" s="67"/>
      <c r="F212" s="7"/>
      <c r="G212" s="7"/>
      <c r="I212" s="7"/>
      <c r="K212" s="62"/>
      <c r="L212" s="7"/>
      <c r="M212" s="7"/>
      <c r="O212" s="7"/>
      <c r="Q212" s="7"/>
      <c r="S212" s="7"/>
      <c r="U212" s="7"/>
      <c r="W212" s="7"/>
    </row>
    <row r="213">
      <c r="E213" s="67"/>
      <c r="F213" s="7"/>
      <c r="G213" s="7"/>
      <c r="I213" s="7"/>
      <c r="K213" s="62"/>
      <c r="L213" s="7"/>
      <c r="M213" s="7"/>
      <c r="O213" s="7"/>
      <c r="Q213" s="7"/>
      <c r="S213" s="7"/>
      <c r="U213" s="7"/>
      <c r="W213" s="7"/>
    </row>
    <row r="214">
      <c r="E214" s="67"/>
      <c r="F214" s="7"/>
      <c r="G214" s="7"/>
      <c r="I214" s="7"/>
      <c r="K214" s="62"/>
      <c r="L214" s="7"/>
      <c r="M214" s="7"/>
      <c r="O214" s="7"/>
      <c r="Q214" s="7"/>
      <c r="S214" s="7"/>
      <c r="U214" s="7"/>
      <c r="W214" s="7"/>
    </row>
    <row r="215">
      <c r="E215" s="67"/>
      <c r="F215" s="7"/>
      <c r="G215" s="7"/>
      <c r="I215" s="7"/>
      <c r="K215" s="62"/>
      <c r="L215" s="7"/>
      <c r="M215" s="7"/>
      <c r="O215" s="7"/>
      <c r="Q215" s="7"/>
      <c r="S215" s="7"/>
      <c r="U215" s="7"/>
      <c r="W215" s="7"/>
    </row>
    <row r="216">
      <c r="E216" s="67"/>
      <c r="F216" s="7"/>
      <c r="G216" s="7"/>
      <c r="I216" s="7"/>
      <c r="K216" s="62"/>
      <c r="L216" s="7"/>
      <c r="M216" s="7"/>
      <c r="O216" s="7"/>
      <c r="Q216" s="7"/>
      <c r="S216" s="7"/>
      <c r="U216" s="7"/>
      <c r="W216" s="7"/>
    </row>
    <row r="217">
      <c r="E217" s="67"/>
      <c r="F217" s="7"/>
      <c r="G217" s="7"/>
      <c r="I217" s="7"/>
      <c r="K217" s="62"/>
      <c r="L217" s="7"/>
      <c r="M217" s="7"/>
      <c r="O217" s="7"/>
      <c r="Q217" s="7"/>
      <c r="S217" s="7"/>
      <c r="U217" s="7"/>
      <c r="W217" s="7"/>
    </row>
    <row r="218">
      <c r="E218" s="67"/>
      <c r="F218" s="7"/>
      <c r="G218" s="7"/>
      <c r="I218" s="7"/>
      <c r="K218" s="62"/>
      <c r="L218" s="7"/>
      <c r="M218" s="7"/>
      <c r="O218" s="7"/>
      <c r="Q218" s="7"/>
      <c r="S218" s="7"/>
      <c r="U218" s="7"/>
      <c r="W218" s="7"/>
    </row>
    <row r="219">
      <c r="E219" s="67"/>
      <c r="F219" s="7"/>
      <c r="G219" s="7"/>
      <c r="I219" s="7"/>
      <c r="K219" s="62"/>
      <c r="L219" s="7"/>
      <c r="M219" s="7"/>
      <c r="O219" s="7"/>
      <c r="Q219" s="7"/>
      <c r="S219" s="7"/>
      <c r="U219" s="7"/>
      <c r="W219" s="7"/>
    </row>
    <row r="220">
      <c r="E220" s="67"/>
      <c r="F220" s="7"/>
      <c r="G220" s="7"/>
      <c r="I220" s="7"/>
      <c r="K220" s="62"/>
      <c r="L220" s="7"/>
      <c r="M220" s="7"/>
      <c r="O220" s="7"/>
      <c r="Q220" s="7"/>
      <c r="S220" s="7"/>
      <c r="U220" s="7"/>
      <c r="W220" s="7"/>
    </row>
    <row r="221">
      <c r="E221" s="67"/>
      <c r="F221" s="7"/>
      <c r="G221" s="7"/>
      <c r="I221" s="7"/>
      <c r="K221" s="62"/>
      <c r="L221" s="7"/>
      <c r="M221" s="7"/>
      <c r="O221" s="7"/>
      <c r="Q221" s="7"/>
      <c r="S221" s="7"/>
      <c r="U221" s="7"/>
      <c r="W221" s="7"/>
    </row>
    <row r="222">
      <c r="E222" s="67"/>
      <c r="F222" s="7"/>
      <c r="G222" s="7"/>
      <c r="I222" s="7"/>
      <c r="K222" s="62"/>
      <c r="L222" s="7"/>
      <c r="M222" s="7"/>
      <c r="O222" s="7"/>
      <c r="Q222" s="7"/>
      <c r="S222" s="7"/>
      <c r="U222" s="7"/>
      <c r="W222" s="7"/>
    </row>
    <row r="223">
      <c r="E223" s="67"/>
      <c r="F223" s="7"/>
      <c r="G223" s="7"/>
      <c r="I223" s="7"/>
      <c r="K223" s="62"/>
      <c r="L223" s="7"/>
      <c r="M223" s="7"/>
      <c r="O223" s="7"/>
      <c r="Q223" s="7"/>
      <c r="S223" s="7"/>
      <c r="U223" s="7"/>
      <c r="W223" s="7"/>
    </row>
    <row r="224">
      <c r="E224" s="67"/>
      <c r="F224" s="7"/>
      <c r="G224" s="7"/>
      <c r="I224" s="7"/>
      <c r="K224" s="62"/>
      <c r="L224" s="7"/>
      <c r="M224" s="7"/>
      <c r="O224" s="7"/>
      <c r="Q224" s="7"/>
      <c r="S224" s="7"/>
      <c r="U224" s="7"/>
      <c r="W224" s="7"/>
    </row>
    <row r="225">
      <c r="E225" s="67"/>
      <c r="F225" s="7"/>
      <c r="G225" s="7"/>
      <c r="I225" s="7"/>
      <c r="K225" s="62"/>
      <c r="L225" s="7"/>
      <c r="M225" s="7"/>
      <c r="O225" s="7"/>
      <c r="Q225" s="7"/>
      <c r="S225" s="7"/>
      <c r="U225" s="7"/>
      <c r="W225" s="7"/>
    </row>
    <row r="226">
      <c r="E226" s="67"/>
      <c r="F226" s="7"/>
      <c r="G226" s="7"/>
      <c r="I226" s="7"/>
      <c r="K226" s="62"/>
      <c r="L226" s="7"/>
      <c r="M226" s="7"/>
      <c r="O226" s="7"/>
      <c r="Q226" s="7"/>
      <c r="S226" s="7"/>
      <c r="U226" s="7"/>
      <c r="W226" s="7"/>
    </row>
    <row r="227">
      <c r="E227" s="67"/>
      <c r="F227" s="7"/>
      <c r="G227" s="7"/>
      <c r="I227" s="7"/>
      <c r="K227" s="62"/>
      <c r="L227" s="7"/>
      <c r="M227" s="7"/>
      <c r="O227" s="7"/>
      <c r="Q227" s="7"/>
      <c r="S227" s="7"/>
      <c r="U227" s="7"/>
      <c r="W227" s="7"/>
    </row>
    <row r="228">
      <c r="E228" s="67"/>
      <c r="F228" s="7"/>
      <c r="G228" s="7"/>
      <c r="I228" s="7"/>
      <c r="K228" s="62"/>
      <c r="L228" s="7"/>
      <c r="M228" s="7"/>
      <c r="O228" s="7"/>
      <c r="Q228" s="7"/>
      <c r="S228" s="7"/>
      <c r="U228" s="7"/>
      <c r="W228" s="7"/>
    </row>
    <row r="229">
      <c r="E229" s="67"/>
      <c r="F229" s="7"/>
      <c r="G229" s="7"/>
      <c r="I229" s="7"/>
      <c r="K229" s="62"/>
      <c r="L229" s="7"/>
      <c r="M229" s="7"/>
      <c r="O229" s="7"/>
      <c r="Q229" s="7"/>
      <c r="S229" s="7"/>
      <c r="U229" s="7"/>
      <c r="W229" s="7"/>
    </row>
    <row r="230">
      <c r="E230" s="67"/>
      <c r="F230" s="7"/>
      <c r="G230" s="7"/>
      <c r="I230" s="7"/>
      <c r="K230" s="62"/>
      <c r="L230" s="7"/>
      <c r="M230" s="7"/>
      <c r="O230" s="7"/>
      <c r="Q230" s="7"/>
      <c r="S230" s="7"/>
      <c r="U230" s="7"/>
      <c r="W230" s="7"/>
    </row>
    <row r="231">
      <c r="E231" s="67"/>
      <c r="F231" s="7"/>
      <c r="G231" s="7"/>
      <c r="I231" s="7"/>
      <c r="K231" s="62"/>
      <c r="L231" s="7"/>
      <c r="M231" s="7"/>
      <c r="O231" s="7"/>
      <c r="Q231" s="7"/>
      <c r="S231" s="7"/>
      <c r="U231" s="7"/>
      <c r="W231" s="7"/>
    </row>
    <row r="232">
      <c r="E232" s="67"/>
      <c r="F232" s="7"/>
      <c r="G232" s="7"/>
      <c r="I232" s="7"/>
      <c r="K232" s="62"/>
      <c r="L232" s="7"/>
      <c r="M232" s="7"/>
      <c r="O232" s="7"/>
      <c r="Q232" s="7"/>
      <c r="S232" s="7"/>
      <c r="U232" s="7"/>
      <c r="W232" s="7"/>
    </row>
    <row r="233">
      <c r="E233" s="67"/>
      <c r="F233" s="7"/>
      <c r="G233" s="7"/>
      <c r="I233" s="7"/>
      <c r="K233" s="62"/>
      <c r="L233" s="7"/>
      <c r="M233" s="7"/>
      <c r="O233" s="7"/>
      <c r="Q233" s="7"/>
      <c r="S233" s="7"/>
      <c r="U233" s="7"/>
      <c r="W233" s="7"/>
    </row>
    <row r="234">
      <c r="E234" s="67"/>
      <c r="F234" s="7"/>
      <c r="G234" s="7"/>
      <c r="I234" s="7"/>
      <c r="K234" s="62"/>
      <c r="L234" s="7"/>
      <c r="M234" s="7"/>
      <c r="O234" s="7"/>
      <c r="Q234" s="7"/>
      <c r="S234" s="7"/>
      <c r="U234" s="7"/>
      <c r="W234" s="7"/>
    </row>
    <row r="235">
      <c r="E235" s="67"/>
      <c r="F235" s="7"/>
      <c r="G235" s="7"/>
      <c r="I235" s="7"/>
      <c r="K235" s="62"/>
      <c r="L235" s="7"/>
      <c r="M235" s="7"/>
      <c r="O235" s="7"/>
      <c r="Q235" s="7"/>
      <c r="S235" s="7"/>
      <c r="U235" s="7"/>
      <c r="W235" s="7"/>
    </row>
    <row r="236">
      <c r="E236" s="67"/>
      <c r="F236" s="7"/>
      <c r="G236" s="7"/>
      <c r="I236" s="7"/>
      <c r="K236" s="62"/>
      <c r="L236" s="7"/>
      <c r="M236" s="7"/>
      <c r="O236" s="7"/>
      <c r="Q236" s="7"/>
      <c r="S236" s="7"/>
      <c r="U236" s="7"/>
      <c r="W236" s="7"/>
    </row>
    <row r="237">
      <c r="E237" s="67"/>
      <c r="F237" s="7"/>
      <c r="G237" s="7"/>
      <c r="I237" s="7"/>
      <c r="K237" s="62"/>
      <c r="L237" s="7"/>
      <c r="M237" s="7"/>
      <c r="O237" s="7"/>
      <c r="Q237" s="7"/>
      <c r="S237" s="7"/>
      <c r="U237" s="7"/>
      <c r="W237" s="7"/>
    </row>
    <row r="238">
      <c r="E238" s="67"/>
      <c r="F238" s="7"/>
      <c r="G238" s="7"/>
      <c r="I238" s="7"/>
      <c r="K238" s="62"/>
      <c r="L238" s="7"/>
      <c r="M238" s="7"/>
      <c r="O238" s="7"/>
      <c r="Q238" s="7"/>
      <c r="S238" s="7"/>
      <c r="U238" s="7"/>
      <c r="W238" s="7"/>
    </row>
    <row r="239">
      <c r="E239" s="67"/>
      <c r="F239" s="7"/>
      <c r="G239" s="7"/>
      <c r="I239" s="7"/>
      <c r="K239" s="62"/>
      <c r="L239" s="7"/>
      <c r="M239" s="7"/>
      <c r="O239" s="7"/>
      <c r="Q239" s="7"/>
      <c r="S239" s="7"/>
      <c r="U239" s="7"/>
      <c r="W239" s="7"/>
    </row>
    <row r="240">
      <c r="E240" s="67"/>
      <c r="F240" s="7"/>
      <c r="G240" s="7"/>
      <c r="I240" s="7"/>
      <c r="K240" s="62"/>
      <c r="L240" s="7"/>
      <c r="M240" s="7"/>
      <c r="O240" s="7"/>
      <c r="Q240" s="7"/>
      <c r="S240" s="7"/>
      <c r="U240" s="7"/>
      <c r="W240" s="7"/>
    </row>
    <row r="241">
      <c r="E241" s="67"/>
      <c r="F241" s="7"/>
      <c r="G241" s="7"/>
      <c r="I241" s="7"/>
      <c r="K241" s="62"/>
      <c r="L241" s="7"/>
      <c r="M241" s="7"/>
      <c r="O241" s="7"/>
      <c r="Q241" s="7"/>
      <c r="S241" s="7"/>
      <c r="U241" s="7"/>
      <c r="W241" s="7"/>
    </row>
    <row r="242">
      <c r="E242" s="67"/>
      <c r="F242" s="7"/>
      <c r="G242" s="7"/>
      <c r="I242" s="7"/>
      <c r="K242" s="62"/>
      <c r="L242" s="7"/>
      <c r="M242" s="7"/>
      <c r="O242" s="7"/>
      <c r="Q242" s="7"/>
      <c r="S242" s="7"/>
      <c r="U242" s="7"/>
      <c r="W242" s="7"/>
    </row>
    <row r="243">
      <c r="E243" s="67"/>
      <c r="F243" s="7"/>
      <c r="G243" s="7"/>
      <c r="I243" s="7"/>
      <c r="K243" s="62"/>
      <c r="L243" s="7"/>
      <c r="M243" s="7"/>
      <c r="O243" s="7"/>
      <c r="Q243" s="7"/>
      <c r="S243" s="7"/>
      <c r="U243" s="7"/>
      <c r="W243" s="7"/>
    </row>
    <row r="244">
      <c r="E244" s="67"/>
      <c r="F244" s="7"/>
      <c r="G244" s="7"/>
      <c r="I244" s="7"/>
      <c r="K244" s="62"/>
      <c r="L244" s="7"/>
      <c r="M244" s="7"/>
      <c r="O244" s="7"/>
      <c r="Q244" s="7"/>
      <c r="S244" s="7"/>
      <c r="U244" s="7"/>
      <c r="W244" s="7"/>
    </row>
    <row r="245">
      <c r="E245" s="67"/>
      <c r="F245" s="7"/>
      <c r="G245" s="7"/>
      <c r="I245" s="7"/>
      <c r="K245" s="62"/>
      <c r="L245" s="7"/>
      <c r="M245" s="7"/>
      <c r="O245" s="7"/>
      <c r="Q245" s="7"/>
      <c r="S245" s="7"/>
      <c r="U245" s="7"/>
      <c r="W245" s="7"/>
    </row>
    <row r="246">
      <c r="E246" s="67"/>
      <c r="F246" s="7"/>
      <c r="G246" s="7"/>
      <c r="I246" s="7"/>
      <c r="K246" s="62"/>
      <c r="L246" s="7"/>
      <c r="M246" s="7"/>
      <c r="O246" s="7"/>
      <c r="Q246" s="7"/>
      <c r="S246" s="7"/>
      <c r="U246" s="7"/>
      <c r="W246" s="7"/>
    </row>
    <row r="247">
      <c r="E247" s="67"/>
      <c r="F247" s="7"/>
      <c r="G247" s="7"/>
      <c r="I247" s="7"/>
      <c r="K247" s="62"/>
      <c r="L247" s="7"/>
      <c r="M247" s="7"/>
      <c r="O247" s="7"/>
      <c r="Q247" s="7"/>
      <c r="S247" s="7"/>
      <c r="U247" s="7"/>
      <c r="W247" s="7"/>
    </row>
    <row r="248">
      <c r="E248" s="67"/>
      <c r="F248" s="7"/>
      <c r="G248" s="7"/>
      <c r="I248" s="7"/>
      <c r="K248" s="62"/>
      <c r="L248" s="7"/>
      <c r="M248" s="7"/>
      <c r="O248" s="7"/>
      <c r="Q248" s="7"/>
      <c r="S248" s="7"/>
      <c r="U248" s="7"/>
      <c r="W248" s="7"/>
    </row>
    <row r="249">
      <c r="E249" s="67"/>
      <c r="F249" s="7"/>
      <c r="G249" s="7"/>
      <c r="I249" s="7"/>
      <c r="K249" s="62"/>
      <c r="L249" s="7"/>
      <c r="M249" s="7"/>
      <c r="O249" s="7"/>
      <c r="Q249" s="7"/>
      <c r="S249" s="7"/>
      <c r="U249" s="7"/>
      <c r="W249" s="7"/>
    </row>
    <row r="250">
      <c r="E250" s="67"/>
      <c r="F250" s="7"/>
      <c r="G250" s="7"/>
      <c r="I250" s="7"/>
      <c r="K250" s="62"/>
      <c r="L250" s="7"/>
      <c r="M250" s="7"/>
      <c r="O250" s="7"/>
      <c r="Q250" s="7"/>
      <c r="S250" s="7"/>
      <c r="U250" s="7"/>
      <c r="W250" s="7"/>
    </row>
    <row r="251">
      <c r="E251" s="67"/>
      <c r="F251" s="7"/>
      <c r="G251" s="7"/>
      <c r="I251" s="7"/>
      <c r="K251" s="62"/>
      <c r="L251" s="7"/>
      <c r="M251" s="7"/>
      <c r="O251" s="7"/>
      <c r="Q251" s="7"/>
      <c r="S251" s="7"/>
      <c r="U251" s="7"/>
      <c r="W251" s="7"/>
    </row>
    <row r="252">
      <c r="E252" s="67"/>
      <c r="F252" s="7"/>
      <c r="G252" s="7"/>
      <c r="I252" s="7"/>
      <c r="K252" s="62"/>
      <c r="L252" s="7"/>
      <c r="M252" s="7"/>
      <c r="O252" s="7"/>
      <c r="Q252" s="7"/>
      <c r="S252" s="7"/>
      <c r="U252" s="7"/>
      <c r="W252" s="7"/>
    </row>
    <row r="253">
      <c r="E253" s="67"/>
      <c r="F253" s="7"/>
      <c r="G253" s="7"/>
      <c r="I253" s="7"/>
      <c r="K253" s="62"/>
      <c r="L253" s="7"/>
      <c r="M253" s="7"/>
      <c r="O253" s="7"/>
      <c r="Q253" s="7"/>
      <c r="S253" s="7"/>
      <c r="U253" s="7"/>
      <c r="W253" s="7"/>
    </row>
    <row r="254">
      <c r="E254" s="67"/>
      <c r="F254" s="7"/>
      <c r="G254" s="7"/>
      <c r="I254" s="7"/>
      <c r="K254" s="62"/>
      <c r="L254" s="7"/>
      <c r="M254" s="7"/>
      <c r="O254" s="7"/>
      <c r="Q254" s="7"/>
      <c r="S254" s="7"/>
      <c r="U254" s="7"/>
      <c r="W254" s="7"/>
    </row>
    <row r="255">
      <c r="E255" s="67"/>
      <c r="F255" s="7"/>
      <c r="G255" s="7"/>
      <c r="I255" s="7"/>
      <c r="K255" s="62"/>
      <c r="L255" s="7"/>
      <c r="M255" s="7"/>
      <c r="O255" s="7"/>
      <c r="Q255" s="7"/>
      <c r="S255" s="7"/>
      <c r="U255" s="7"/>
      <c r="W255" s="7"/>
    </row>
    <row r="256">
      <c r="E256" s="67"/>
      <c r="F256" s="7"/>
      <c r="G256" s="7"/>
      <c r="I256" s="7"/>
      <c r="K256" s="62"/>
      <c r="L256" s="7"/>
      <c r="M256" s="7"/>
      <c r="O256" s="7"/>
      <c r="Q256" s="7"/>
      <c r="S256" s="7"/>
      <c r="U256" s="7"/>
      <c r="W256" s="7"/>
    </row>
    <row r="257">
      <c r="E257" s="67"/>
      <c r="F257" s="7"/>
      <c r="G257" s="7"/>
      <c r="I257" s="7"/>
      <c r="K257" s="62"/>
      <c r="L257" s="7"/>
      <c r="M257" s="7"/>
      <c r="O257" s="7"/>
      <c r="Q257" s="7"/>
      <c r="S257" s="7"/>
      <c r="U257" s="7"/>
      <c r="W257" s="7"/>
    </row>
    <row r="258">
      <c r="E258" s="67"/>
      <c r="F258" s="7"/>
      <c r="G258" s="7"/>
      <c r="I258" s="7"/>
      <c r="K258" s="62"/>
      <c r="L258" s="7"/>
      <c r="M258" s="7"/>
      <c r="O258" s="7"/>
      <c r="Q258" s="7"/>
      <c r="S258" s="7"/>
      <c r="U258" s="7"/>
      <c r="W258" s="7"/>
    </row>
    <row r="259">
      <c r="E259" s="67"/>
      <c r="F259" s="7"/>
      <c r="G259" s="7"/>
      <c r="I259" s="7"/>
      <c r="K259" s="62"/>
      <c r="L259" s="7"/>
      <c r="M259" s="7"/>
      <c r="O259" s="7"/>
      <c r="Q259" s="7"/>
      <c r="S259" s="7"/>
      <c r="U259" s="7"/>
      <c r="W259" s="7"/>
    </row>
    <row r="260">
      <c r="E260" s="67"/>
      <c r="F260" s="7"/>
      <c r="G260" s="7"/>
      <c r="I260" s="7"/>
      <c r="K260" s="62"/>
      <c r="L260" s="7"/>
      <c r="M260" s="7"/>
      <c r="O260" s="7"/>
      <c r="Q260" s="7"/>
      <c r="S260" s="7"/>
      <c r="U260" s="7"/>
      <c r="W260" s="7"/>
    </row>
    <row r="261">
      <c r="E261" s="67"/>
      <c r="F261" s="7"/>
      <c r="G261" s="7"/>
      <c r="I261" s="7"/>
      <c r="K261" s="62"/>
      <c r="L261" s="7"/>
      <c r="M261" s="7"/>
      <c r="O261" s="7"/>
      <c r="Q261" s="7"/>
      <c r="S261" s="7"/>
      <c r="U261" s="7"/>
      <c r="W261" s="7"/>
    </row>
    <row r="262">
      <c r="E262" s="67"/>
      <c r="F262" s="7"/>
      <c r="G262" s="7"/>
      <c r="I262" s="7"/>
      <c r="K262" s="62"/>
      <c r="L262" s="7"/>
      <c r="M262" s="7"/>
      <c r="O262" s="7"/>
      <c r="Q262" s="7"/>
      <c r="S262" s="7"/>
      <c r="U262" s="7"/>
      <c r="W262" s="7"/>
    </row>
    <row r="263">
      <c r="E263" s="67"/>
      <c r="F263" s="7"/>
      <c r="G263" s="7"/>
      <c r="I263" s="7"/>
      <c r="K263" s="62"/>
      <c r="L263" s="7"/>
      <c r="M263" s="7"/>
      <c r="O263" s="7"/>
      <c r="Q263" s="7"/>
      <c r="S263" s="7"/>
      <c r="U263" s="7"/>
      <c r="W263" s="7"/>
    </row>
    <row r="264">
      <c r="E264" s="67"/>
      <c r="F264" s="7"/>
      <c r="G264" s="7"/>
      <c r="I264" s="7"/>
      <c r="K264" s="62"/>
      <c r="L264" s="7"/>
      <c r="M264" s="7"/>
      <c r="O264" s="7"/>
      <c r="Q264" s="7"/>
      <c r="S264" s="7"/>
      <c r="U264" s="7"/>
      <c r="W264" s="7"/>
    </row>
    <row r="265">
      <c r="E265" s="67"/>
      <c r="F265" s="7"/>
      <c r="G265" s="7"/>
      <c r="I265" s="7"/>
      <c r="K265" s="62"/>
      <c r="L265" s="7"/>
      <c r="M265" s="7"/>
      <c r="O265" s="7"/>
      <c r="Q265" s="7"/>
      <c r="S265" s="7"/>
      <c r="U265" s="7"/>
      <c r="W265" s="7"/>
    </row>
    <row r="266">
      <c r="E266" s="67"/>
      <c r="F266" s="7"/>
      <c r="G266" s="7"/>
      <c r="I266" s="7"/>
      <c r="K266" s="62"/>
      <c r="L266" s="7"/>
      <c r="M266" s="7"/>
      <c r="O266" s="7"/>
      <c r="Q266" s="7"/>
      <c r="S266" s="7"/>
      <c r="U266" s="7"/>
      <c r="W266" s="7"/>
    </row>
    <row r="267">
      <c r="E267" s="67"/>
      <c r="F267" s="7"/>
      <c r="G267" s="7"/>
      <c r="I267" s="7"/>
      <c r="K267" s="62"/>
      <c r="L267" s="7"/>
      <c r="M267" s="7"/>
      <c r="O267" s="7"/>
      <c r="Q267" s="7"/>
      <c r="S267" s="7"/>
      <c r="U267" s="7"/>
      <c r="W267" s="7"/>
    </row>
    <row r="268">
      <c r="E268" s="67"/>
      <c r="F268" s="7"/>
      <c r="G268" s="7"/>
      <c r="I268" s="7"/>
      <c r="K268" s="62"/>
      <c r="L268" s="7"/>
      <c r="M268" s="7"/>
      <c r="O268" s="7"/>
      <c r="Q268" s="7"/>
      <c r="S268" s="7"/>
      <c r="U268" s="7"/>
      <c r="W268" s="7"/>
    </row>
    <row r="269">
      <c r="E269" s="67"/>
      <c r="F269" s="7"/>
      <c r="G269" s="7"/>
      <c r="I269" s="7"/>
      <c r="K269" s="62"/>
      <c r="L269" s="7"/>
      <c r="M269" s="7"/>
      <c r="O269" s="7"/>
      <c r="Q269" s="7"/>
      <c r="S269" s="7"/>
      <c r="U269" s="7"/>
      <c r="W269" s="7"/>
    </row>
    <row r="270">
      <c r="E270" s="67"/>
      <c r="F270" s="7"/>
      <c r="G270" s="7"/>
      <c r="I270" s="7"/>
      <c r="K270" s="62"/>
      <c r="L270" s="7"/>
      <c r="M270" s="7"/>
      <c r="O270" s="7"/>
      <c r="Q270" s="7"/>
      <c r="S270" s="7"/>
      <c r="U270" s="7"/>
      <c r="W270" s="7"/>
    </row>
    <row r="271">
      <c r="E271" s="67"/>
      <c r="F271" s="7"/>
      <c r="G271" s="7"/>
      <c r="I271" s="7"/>
      <c r="K271" s="62"/>
      <c r="L271" s="7"/>
      <c r="M271" s="7"/>
      <c r="O271" s="7"/>
      <c r="Q271" s="7"/>
      <c r="S271" s="7"/>
      <c r="U271" s="7"/>
      <c r="W271" s="7"/>
    </row>
    <row r="272">
      <c r="E272" s="67"/>
      <c r="F272" s="7"/>
      <c r="G272" s="7"/>
      <c r="I272" s="7"/>
      <c r="K272" s="62"/>
      <c r="L272" s="7"/>
      <c r="M272" s="7"/>
      <c r="O272" s="7"/>
      <c r="Q272" s="7"/>
      <c r="S272" s="7"/>
      <c r="U272" s="7"/>
      <c r="W272" s="7"/>
    </row>
    <row r="273">
      <c r="E273" s="67"/>
      <c r="F273" s="7"/>
      <c r="G273" s="7"/>
      <c r="I273" s="7"/>
      <c r="K273" s="62"/>
      <c r="L273" s="7"/>
      <c r="M273" s="7"/>
      <c r="O273" s="7"/>
      <c r="Q273" s="7"/>
      <c r="S273" s="7"/>
      <c r="U273" s="7"/>
      <c r="W273" s="7"/>
    </row>
    <row r="274">
      <c r="E274" s="67"/>
      <c r="F274" s="7"/>
      <c r="G274" s="7"/>
      <c r="I274" s="7"/>
      <c r="K274" s="62"/>
      <c r="L274" s="7"/>
      <c r="M274" s="7"/>
      <c r="O274" s="7"/>
      <c r="Q274" s="7"/>
      <c r="S274" s="7"/>
      <c r="U274" s="7"/>
      <c r="W274" s="7"/>
    </row>
    <row r="275">
      <c r="E275" s="67"/>
      <c r="F275" s="7"/>
      <c r="G275" s="7"/>
      <c r="I275" s="7"/>
      <c r="K275" s="62"/>
      <c r="L275" s="7"/>
      <c r="M275" s="7"/>
      <c r="O275" s="7"/>
      <c r="Q275" s="7"/>
      <c r="S275" s="7"/>
      <c r="U275" s="7"/>
      <c r="W275" s="7"/>
    </row>
    <row r="276">
      <c r="E276" s="67"/>
      <c r="F276" s="7"/>
      <c r="G276" s="7"/>
      <c r="I276" s="7"/>
      <c r="K276" s="62"/>
      <c r="L276" s="7"/>
      <c r="M276" s="7"/>
      <c r="O276" s="7"/>
      <c r="Q276" s="7"/>
      <c r="S276" s="7"/>
      <c r="U276" s="7"/>
      <c r="W276" s="7"/>
    </row>
    <row r="277">
      <c r="E277" s="67"/>
      <c r="F277" s="7"/>
      <c r="G277" s="7"/>
      <c r="I277" s="7"/>
      <c r="K277" s="62"/>
      <c r="L277" s="7"/>
      <c r="M277" s="7"/>
      <c r="O277" s="7"/>
      <c r="Q277" s="7"/>
      <c r="S277" s="7"/>
      <c r="U277" s="7"/>
      <c r="W277" s="7"/>
    </row>
    <row r="278">
      <c r="E278" s="67"/>
      <c r="F278" s="7"/>
      <c r="G278" s="7"/>
      <c r="I278" s="7"/>
      <c r="K278" s="62"/>
      <c r="L278" s="7"/>
      <c r="M278" s="7"/>
      <c r="O278" s="7"/>
      <c r="Q278" s="7"/>
      <c r="S278" s="7"/>
      <c r="U278" s="7"/>
      <c r="W278" s="7"/>
    </row>
    <row r="279">
      <c r="E279" s="67"/>
      <c r="F279" s="7"/>
      <c r="G279" s="7"/>
      <c r="I279" s="7"/>
      <c r="K279" s="62"/>
      <c r="L279" s="7"/>
      <c r="M279" s="7"/>
      <c r="O279" s="7"/>
      <c r="Q279" s="7"/>
      <c r="S279" s="7"/>
      <c r="U279" s="7"/>
      <c r="W279" s="7"/>
    </row>
    <row r="280">
      <c r="E280" s="67"/>
      <c r="F280" s="7"/>
      <c r="G280" s="7"/>
      <c r="I280" s="7"/>
      <c r="K280" s="62"/>
      <c r="L280" s="7"/>
      <c r="M280" s="7"/>
      <c r="O280" s="7"/>
      <c r="Q280" s="7"/>
      <c r="S280" s="7"/>
      <c r="U280" s="7"/>
      <c r="W280" s="7"/>
    </row>
    <row r="281">
      <c r="E281" s="67"/>
      <c r="F281" s="7"/>
      <c r="G281" s="7"/>
      <c r="I281" s="7"/>
      <c r="K281" s="62"/>
      <c r="L281" s="7"/>
      <c r="M281" s="7"/>
      <c r="O281" s="7"/>
      <c r="Q281" s="7"/>
      <c r="S281" s="7"/>
      <c r="U281" s="7"/>
      <c r="W281" s="7"/>
    </row>
    <row r="282">
      <c r="E282" s="67"/>
      <c r="F282" s="7"/>
      <c r="G282" s="7"/>
      <c r="I282" s="7"/>
      <c r="K282" s="62"/>
      <c r="L282" s="7"/>
      <c r="M282" s="7"/>
      <c r="O282" s="7"/>
      <c r="Q282" s="7"/>
      <c r="S282" s="7"/>
      <c r="U282" s="7"/>
      <c r="W282" s="7"/>
    </row>
    <row r="283">
      <c r="E283" s="67"/>
      <c r="F283" s="7"/>
      <c r="G283" s="7"/>
      <c r="I283" s="7"/>
      <c r="K283" s="62"/>
      <c r="L283" s="7"/>
      <c r="M283" s="7"/>
      <c r="O283" s="7"/>
      <c r="Q283" s="7"/>
      <c r="S283" s="7"/>
      <c r="U283" s="7"/>
      <c r="W283" s="7"/>
    </row>
    <row r="284">
      <c r="E284" s="67"/>
      <c r="F284" s="7"/>
      <c r="G284" s="7"/>
      <c r="I284" s="7"/>
      <c r="K284" s="62"/>
      <c r="L284" s="7"/>
      <c r="M284" s="7"/>
      <c r="O284" s="7"/>
      <c r="Q284" s="7"/>
      <c r="S284" s="7"/>
      <c r="U284" s="7"/>
      <c r="W284" s="7"/>
    </row>
    <row r="285">
      <c r="E285" s="67"/>
      <c r="F285" s="7"/>
      <c r="G285" s="7"/>
      <c r="I285" s="7"/>
      <c r="K285" s="62"/>
      <c r="L285" s="7"/>
      <c r="M285" s="7"/>
      <c r="O285" s="7"/>
      <c r="Q285" s="7"/>
      <c r="S285" s="7"/>
      <c r="U285" s="7"/>
      <c r="W285" s="7"/>
    </row>
    <row r="286">
      <c r="E286" s="67"/>
      <c r="F286" s="7"/>
      <c r="G286" s="7"/>
      <c r="I286" s="7"/>
      <c r="K286" s="62"/>
      <c r="L286" s="7"/>
      <c r="M286" s="7"/>
      <c r="O286" s="7"/>
      <c r="Q286" s="7"/>
      <c r="S286" s="7"/>
      <c r="U286" s="7"/>
      <c r="W286" s="7"/>
    </row>
    <row r="287">
      <c r="E287" s="67"/>
      <c r="F287" s="7"/>
      <c r="G287" s="7"/>
      <c r="I287" s="7"/>
      <c r="K287" s="62"/>
      <c r="L287" s="7"/>
      <c r="M287" s="7"/>
      <c r="O287" s="7"/>
      <c r="Q287" s="7"/>
      <c r="S287" s="7"/>
      <c r="U287" s="7"/>
      <c r="W287" s="7"/>
    </row>
    <row r="288">
      <c r="E288" s="67"/>
      <c r="F288" s="7"/>
      <c r="G288" s="7"/>
      <c r="I288" s="7"/>
      <c r="K288" s="62"/>
      <c r="L288" s="7"/>
      <c r="M288" s="7"/>
      <c r="O288" s="7"/>
      <c r="Q288" s="7"/>
      <c r="S288" s="7"/>
      <c r="U288" s="7"/>
      <c r="W288" s="7"/>
    </row>
    <row r="289">
      <c r="E289" s="67"/>
      <c r="F289" s="7"/>
      <c r="G289" s="7"/>
      <c r="I289" s="7"/>
      <c r="K289" s="62"/>
      <c r="L289" s="7"/>
      <c r="M289" s="7"/>
      <c r="O289" s="7"/>
      <c r="Q289" s="7"/>
      <c r="S289" s="7"/>
      <c r="U289" s="7"/>
      <c r="W289" s="7"/>
    </row>
    <row r="290">
      <c r="E290" s="67"/>
      <c r="F290" s="7"/>
      <c r="G290" s="7"/>
      <c r="I290" s="7"/>
      <c r="K290" s="62"/>
      <c r="L290" s="7"/>
      <c r="M290" s="7"/>
      <c r="O290" s="7"/>
      <c r="Q290" s="7"/>
      <c r="S290" s="7"/>
      <c r="U290" s="7"/>
      <c r="W290" s="7"/>
    </row>
    <row r="291">
      <c r="E291" s="67"/>
      <c r="F291" s="7"/>
      <c r="G291" s="7"/>
      <c r="I291" s="7"/>
      <c r="K291" s="62"/>
      <c r="L291" s="7"/>
      <c r="M291" s="7"/>
      <c r="O291" s="7"/>
      <c r="Q291" s="7"/>
      <c r="S291" s="7"/>
      <c r="U291" s="7"/>
      <c r="W291" s="7"/>
    </row>
    <row r="292">
      <c r="E292" s="67"/>
      <c r="F292" s="7"/>
      <c r="G292" s="7"/>
      <c r="I292" s="7"/>
      <c r="K292" s="62"/>
      <c r="L292" s="7"/>
      <c r="M292" s="7"/>
      <c r="O292" s="7"/>
      <c r="Q292" s="7"/>
      <c r="S292" s="7"/>
      <c r="U292" s="7"/>
      <c r="W292" s="7"/>
    </row>
    <row r="293">
      <c r="E293" s="67"/>
      <c r="F293" s="7"/>
      <c r="G293" s="7"/>
      <c r="I293" s="7"/>
      <c r="K293" s="62"/>
      <c r="L293" s="7"/>
      <c r="M293" s="7"/>
      <c r="O293" s="7"/>
      <c r="Q293" s="7"/>
      <c r="S293" s="7"/>
      <c r="U293" s="7"/>
      <c r="W293" s="7"/>
    </row>
    <row r="294">
      <c r="E294" s="67"/>
      <c r="F294" s="7"/>
      <c r="G294" s="7"/>
      <c r="I294" s="7"/>
      <c r="K294" s="62"/>
      <c r="L294" s="7"/>
      <c r="M294" s="7"/>
      <c r="O294" s="7"/>
      <c r="Q294" s="7"/>
      <c r="S294" s="7"/>
      <c r="U294" s="7"/>
      <c r="W294" s="7"/>
    </row>
    <row r="295">
      <c r="E295" s="67"/>
      <c r="F295" s="7"/>
      <c r="G295" s="7"/>
      <c r="I295" s="7"/>
      <c r="K295" s="62"/>
      <c r="L295" s="7"/>
      <c r="M295" s="7"/>
      <c r="O295" s="7"/>
      <c r="Q295" s="7"/>
      <c r="S295" s="7"/>
      <c r="U295" s="7"/>
      <c r="W295" s="7"/>
    </row>
    <row r="296">
      <c r="E296" s="67"/>
      <c r="F296" s="7"/>
      <c r="G296" s="7"/>
      <c r="I296" s="7"/>
      <c r="K296" s="62"/>
      <c r="L296" s="7"/>
      <c r="M296" s="7"/>
      <c r="O296" s="7"/>
      <c r="Q296" s="7"/>
      <c r="S296" s="7"/>
      <c r="U296" s="7"/>
      <c r="W296" s="7"/>
    </row>
    <row r="297">
      <c r="E297" s="67"/>
      <c r="F297" s="7"/>
      <c r="G297" s="7"/>
      <c r="I297" s="7"/>
      <c r="K297" s="62"/>
      <c r="L297" s="7"/>
      <c r="M297" s="7"/>
      <c r="O297" s="7"/>
      <c r="Q297" s="7"/>
      <c r="S297" s="7"/>
      <c r="U297" s="7"/>
      <c r="W297" s="7"/>
    </row>
    <row r="298">
      <c r="E298" s="67"/>
      <c r="F298" s="7"/>
      <c r="G298" s="7"/>
      <c r="I298" s="7"/>
      <c r="K298" s="62"/>
      <c r="L298" s="7"/>
      <c r="M298" s="7"/>
      <c r="O298" s="7"/>
      <c r="Q298" s="7"/>
      <c r="S298" s="7"/>
      <c r="U298" s="7"/>
      <c r="W298" s="7"/>
    </row>
    <row r="299">
      <c r="E299" s="67"/>
      <c r="F299" s="7"/>
      <c r="G299" s="7"/>
      <c r="I299" s="7"/>
      <c r="K299" s="62"/>
      <c r="L299" s="7"/>
      <c r="M299" s="7"/>
      <c r="O299" s="7"/>
      <c r="Q299" s="7"/>
      <c r="S299" s="7"/>
      <c r="U299" s="7"/>
      <c r="W299" s="7"/>
    </row>
    <row r="300">
      <c r="E300" s="67"/>
      <c r="F300" s="7"/>
      <c r="G300" s="7"/>
      <c r="I300" s="7"/>
      <c r="K300" s="62"/>
      <c r="L300" s="7"/>
      <c r="M300" s="7"/>
      <c r="O300" s="7"/>
      <c r="Q300" s="7"/>
      <c r="S300" s="7"/>
      <c r="U300" s="7"/>
      <c r="W300" s="7"/>
    </row>
    <row r="301">
      <c r="E301" s="67"/>
      <c r="F301" s="7"/>
      <c r="G301" s="7"/>
      <c r="I301" s="7"/>
      <c r="K301" s="62"/>
      <c r="L301" s="7"/>
      <c r="M301" s="7"/>
      <c r="O301" s="7"/>
      <c r="Q301" s="7"/>
      <c r="S301" s="7"/>
      <c r="U301" s="7"/>
      <c r="W301" s="7"/>
    </row>
    <row r="302">
      <c r="E302" s="67"/>
      <c r="F302" s="7"/>
      <c r="G302" s="7"/>
      <c r="I302" s="7"/>
      <c r="K302" s="62"/>
      <c r="L302" s="7"/>
      <c r="M302" s="7"/>
      <c r="O302" s="7"/>
      <c r="Q302" s="7"/>
      <c r="S302" s="7"/>
      <c r="U302" s="7"/>
      <c r="W302" s="7"/>
    </row>
    <row r="303">
      <c r="E303" s="67"/>
      <c r="F303" s="7"/>
      <c r="G303" s="7"/>
      <c r="I303" s="7"/>
      <c r="K303" s="62"/>
      <c r="L303" s="7"/>
      <c r="M303" s="7"/>
      <c r="O303" s="7"/>
      <c r="Q303" s="7"/>
      <c r="S303" s="7"/>
      <c r="U303" s="7"/>
      <c r="W303" s="7"/>
    </row>
    <row r="304">
      <c r="E304" s="67"/>
      <c r="F304" s="7"/>
      <c r="G304" s="7"/>
      <c r="I304" s="7"/>
      <c r="K304" s="62"/>
      <c r="L304" s="7"/>
      <c r="M304" s="7"/>
      <c r="O304" s="7"/>
      <c r="Q304" s="7"/>
      <c r="S304" s="7"/>
      <c r="U304" s="7"/>
      <c r="W304" s="7"/>
    </row>
    <row r="305">
      <c r="E305" s="67"/>
      <c r="F305" s="7"/>
      <c r="G305" s="7"/>
      <c r="I305" s="7"/>
      <c r="K305" s="62"/>
      <c r="L305" s="7"/>
      <c r="M305" s="7"/>
      <c r="O305" s="7"/>
      <c r="Q305" s="7"/>
      <c r="S305" s="7"/>
      <c r="U305" s="7"/>
      <c r="W305" s="7"/>
    </row>
    <row r="306">
      <c r="E306" s="67"/>
      <c r="F306" s="7"/>
      <c r="G306" s="7"/>
      <c r="I306" s="7"/>
      <c r="K306" s="62"/>
      <c r="L306" s="7"/>
      <c r="M306" s="7"/>
      <c r="O306" s="7"/>
      <c r="Q306" s="7"/>
      <c r="S306" s="7"/>
      <c r="U306" s="7"/>
      <c r="W306" s="7"/>
    </row>
    <row r="307">
      <c r="E307" s="67"/>
      <c r="F307" s="7"/>
      <c r="G307" s="7"/>
      <c r="I307" s="7"/>
      <c r="K307" s="62"/>
      <c r="L307" s="7"/>
      <c r="M307" s="7"/>
      <c r="O307" s="7"/>
      <c r="Q307" s="7"/>
      <c r="S307" s="7"/>
      <c r="U307" s="7"/>
      <c r="W307" s="7"/>
    </row>
    <row r="308">
      <c r="E308" s="67"/>
      <c r="F308" s="7"/>
      <c r="G308" s="7"/>
      <c r="I308" s="7"/>
      <c r="K308" s="62"/>
      <c r="L308" s="7"/>
      <c r="M308" s="7"/>
      <c r="O308" s="7"/>
      <c r="Q308" s="7"/>
      <c r="S308" s="7"/>
      <c r="U308" s="7"/>
      <c r="W308" s="7"/>
    </row>
    <row r="309">
      <c r="E309" s="67"/>
      <c r="F309" s="7"/>
      <c r="G309" s="7"/>
      <c r="I309" s="7"/>
      <c r="K309" s="62"/>
      <c r="L309" s="7"/>
      <c r="M309" s="7"/>
      <c r="O309" s="7"/>
      <c r="Q309" s="7"/>
      <c r="S309" s="7"/>
      <c r="U309" s="7"/>
      <c r="W309" s="7"/>
    </row>
    <row r="310">
      <c r="E310" s="67"/>
      <c r="F310" s="7"/>
      <c r="G310" s="7"/>
      <c r="I310" s="7"/>
      <c r="K310" s="62"/>
      <c r="L310" s="7"/>
      <c r="M310" s="7"/>
      <c r="O310" s="7"/>
      <c r="Q310" s="7"/>
      <c r="S310" s="7"/>
      <c r="U310" s="7"/>
      <c r="W310" s="7"/>
    </row>
    <row r="311">
      <c r="E311" s="67"/>
      <c r="F311" s="7"/>
      <c r="G311" s="7"/>
      <c r="I311" s="7"/>
      <c r="K311" s="62"/>
      <c r="L311" s="7"/>
      <c r="M311" s="7"/>
      <c r="O311" s="7"/>
      <c r="Q311" s="7"/>
      <c r="S311" s="7"/>
      <c r="U311" s="7"/>
      <c r="W311" s="7"/>
    </row>
    <row r="312">
      <c r="E312" s="67"/>
      <c r="F312" s="7"/>
      <c r="G312" s="7"/>
      <c r="I312" s="7"/>
      <c r="K312" s="62"/>
      <c r="L312" s="7"/>
      <c r="M312" s="7"/>
      <c r="O312" s="7"/>
      <c r="Q312" s="7"/>
      <c r="S312" s="7"/>
      <c r="U312" s="7"/>
      <c r="W312" s="7"/>
    </row>
    <row r="313">
      <c r="E313" s="67"/>
      <c r="F313" s="7"/>
      <c r="G313" s="7"/>
      <c r="I313" s="7"/>
      <c r="K313" s="62"/>
      <c r="L313" s="7"/>
      <c r="M313" s="7"/>
      <c r="O313" s="7"/>
      <c r="Q313" s="7"/>
      <c r="S313" s="7"/>
      <c r="U313" s="7"/>
      <c r="W313" s="7"/>
    </row>
    <row r="314">
      <c r="E314" s="67"/>
      <c r="F314" s="7"/>
      <c r="G314" s="7"/>
      <c r="I314" s="7"/>
      <c r="K314" s="62"/>
      <c r="L314" s="7"/>
      <c r="M314" s="7"/>
      <c r="O314" s="7"/>
      <c r="Q314" s="7"/>
      <c r="S314" s="7"/>
      <c r="U314" s="7"/>
      <c r="W314" s="7"/>
    </row>
    <row r="315">
      <c r="E315" s="67"/>
      <c r="F315" s="7"/>
      <c r="G315" s="7"/>
      <c r="I315" s="7"/>
      <c r="K315" s="62"/>
      <c r="L315" s="7"/>
      <c r="M315" s="7"/>
      <c r="O315" s="7"/>
      <c r="Q315" s="7"/>
      <c r="S315" s="7"/>
      <c r="U315" s="7"/>
      <c r="W315" s="7"/>
    </row>
    <row r="316">
      <c r="E316" s="67"/>
      <c r="F316" s="7"/>
      <c r="G316" s="7"/>
      <c r="I316" s="7"/>
      <c r="K316" s="62"/>
      <c r="L316" s="7"/>
      <c r="M316" s="7"/>
      <c r="O316" s="7"/>
      <c r="Q316" s="7"/>
      <c r="S316" s="7"/>
      <c r="U316" s="7"/>
      <c r="W316" s="7"/>
    </row>
    <row r="317">
      <c r="E317" s="67"/>
      <c r="F317" s="7"/>
      <c r="G317" s="7"/>
      <c r="I317" s="7"/>
      <c r="K317" s="62"/>
      <c r="L317" s="7"/>
      <c r="M317" s="7"/>
      <c r="O317" s="7"/>
      <c r="Q317" s="7"/>
      <c r="S317" s="7"/>
      <c r="U317" s="7"/>
      <c r="W317" s="7"/>
    </row>
    <row r="318">
      <c r="E318" s="67"/>
      <c r="F318" s="7"/>
      <c r="G318" s="7"/>
      <c r="I318" s="7"/>
      <c r="K318" s="62"/>
      <c r="L318" s="7"/>
      <c r="M318" s="7"/>
      <c r="O318" s="7"/>
      <c r="Q318" s="7"/>
      <c r="S318" s="7"/>
      <c r="U318" s="7"/>
      <c r="W318" s="7"/>
    </row>
    <row r="319">
      <c r="E319" s="67"/>
      <c r="F319" s="7"/>
      <c r="G319" s="7"/>
      <c r="I319" s="7"/>
      <c r="K319" s="62"/>
      <c r="L319" s="7"/>
      <c r="M319" s="7"/>
      <c r="O319" s="7"/>
      <c r="Q319" s="7"/>
      <c r="S319" s="7"/>
      <c r="U319" s="7"/>
      <c r="W319" s="7"/>
    </row>
    <row r="320">
      <c r="E320" s="67"/>
      <c r="F320" s="7"/>
      <c r="G320" s="7"/>
      <c r="I320" s="7"/>
      <c r="K320" s="62"/>
      <c r="L320" s="7"/>
      <c r="M320" s="7"/>
      <c r="O320" s="7"/>
      <c r="Q320" s="7"/>
      <c r="S320" s="7"/>
      <c r="U320" s="7"/>
      <c r="W320" s="7"/>
    </row>
    <row r="321">
      <c r="E321" s="67"/>
      <c r="F321" s="7"/>
      <c r="G321" s="7"/>
      <c r="I321" s="7"/>
      <c r="K321" s="62"/>
      <c r="L321" s="7"/>
      <c r="M321" s="7"/>
      <c r="O321" s="7"/>
      <c r="Q321" s="7"/>
      <c r="S321" s="7"/>
      <c r="U321" s="7"/>
      <c r="W321" s="7"/>
    </row>
    <row r="322">
      <c r="E322" s="67"/>
      <c r="F322" s="7"/>
      <c r="G322" s="7"/>
      <c r="I322" s="7"/>
      <c r="K322" s="62"/>
      <c r="L322" s="7"/>
      <c r="M322" s="7"/>
      <c r="O322" s="7"/>
      <c r="Q322" s="7"/>
      <c r="S322" s="7"/>
      <c r="U322" s="7"/>
      <c r="W322" s="7"/>
    </row>
    <row r="323">
      <c r="E323" s="67"/>
      <c r="F323" s="7"/>
      <c r="G323" s="7"/>
      <c r="I323" s="7"/>
      <c r="K323" s="62"/>
      <c r="L323" s="7"/>
      <c r="M323" s="7"/>
      <c r="O323" s="7"/>
      <c r="Q323" s="7"/>
      <c r="S323" s="7"/>
      <c r="U323" s="7"/>
      <c r="W323" s="7"/>
    </row>
    <row r="324">
      <c r="E324" s="67"/>
      <c r="F324" s="7"/>
      <c r="G324" s="7"/>
      <c r="I324" s="7"/>
      <c r="K324" s="62"/>
      <c r="L324" s="7"/>
      <c r="M324" s="7"/>
      <c r="O324" s="7"/>
      <c r="Q324" s="7"/>
      <c r="S324" s="7"/>
      <c r="U324" s="7"/>
      <c r="W324" s="7"/>
    </row>
    <row r="325">
      <c r="E325" s="67"/>
      <c r="F325" s="7"/>
      <c r="G325" s="7"/>
      <c r="I325" s="7"/>
      <c r="K325" s="62"/>
      <c r="L325" s="7"/>
      <c r="M325" s="7"/>
      <c r="O325" s="7"/>
      <c r="Q325" s="7"/>
      <c r="S325" s="7"/>
      <c r="U325" s="7"/>
      <c r="W325" s="7"/>
    </row>
    <row r="326">
      <c r="E326" s="67"/>
      <c r="F326" s="7"/>
      <c r="G326" s="7"/>
      <c r="I326" s="7"/>
      <c r="K326" s="62"/>
      <c r="L326" s="7"/>
      <c r="M326" s="7"/>
      <c r="O326" s="7"/>
      <c r="Q326" s="7"/>
      <c r="S326" s="7"/>
      <c r="U326" s="7"/>
      <c r="W326" s="7"/>
    </row>
    <row r="327">
      <c r="E327" s="67"/>
      <c r="F327" s="7"/>
      <c r="G327" s="7"/>
      <c r="I327" s="7"/>
      <c r="K327" s="62"/>
      <c r="L327" s="7"/>
      <c r="M327" s="7"/>
      <c r="O327" s="7"/>
      <c r="Q327" s="7"/>
      <c r="S327" s="7"/>
      <c r="U327" s="7"/>
      <c r="W327" s="7"/>
    </row>
    <row r="328">
      <c r="E328" s="67"/>
      <c r="F328" s="7"/>
      <c r="G328" s="7"/>
      <c r="I328" s="7"/>
      <c r="K328" s="62"/>
      <c r="L328" s="7"/>
      <c r="M328" s="7"/>
      <c r="O328" s="7"/>
      <c r="Q328" s="7"/>
      <c r="S328" s="7"/>
      <c r="U328" s="7"/>
      <c r="W328" s="7"/>
    </row>
    <row r="329">
      <c r="E329" s="67"/>
      <c r="F329" s="7"/>
      <c r="G329" s="7"/>
      <c r="I329" s="7"/>
      <c r="K329" s="62"/>
      <c r="L329" s="7"/>
      <c r="M329" s="7"/>
      <c r="O329" s="7"/>
      <c r="Q329" s="7"/>
      <c r="S329" s="7"/>
      <c r="U329" s="7"/>
      <c r="W329" s="7"/>
    </row>
    <row r="330">
      <c r="E330" s="67"/>
      <c r="F330" s="7"/>
      <c r="G330" s="7"/>
      <c r="I330" s="7"/>
      <c r="K330" s="62"/>
      <c r="L330" s="7"/>
      <c r="M330" s="7"/>
      <c r="O330" s="7"/>
      <c r="Q330" s="7"/>
      <c r="S330" s="7"/>
      <c r="U330" s="7"/>
      <c r="W330" s="7"/>
    </row>
    <row r="331">
      <c r="E331" s="67"/>
      <c r="F331" s="7"/>
      <c r="G331" s="7"/>
      <c r="I331" s="7"/>
      <c r="K331" s="62"/>
      <c r="L331" s="7"/>
      <c r="M331" s="7"/>
      <c r="O331" s="7"/>
      <c r="Q331" s="7"/>
      <c r="S331" s="7"/>
      <c r="U331" s="7"/>
      <c r="W331" s="7"/>
    </row>
    <row r="332">
      <c r="E332" s="67"/>
      <c r="F332" s="7"/>
      <c r="G332" s="7"/>
      <c r="I332" s="7"/>
      <c r="K332" s="62"/>
      <c r="L332" s="7"/>
      <c r="M332" s="7"/>
      <c r="O332" s="7"/>
      <c r="Q332" s="7"/>
      <c r="S332" s="7"/>
      <c r="U332" s="7"/>
      <c r="W332" s="7"/>
    </row>
    <row r="333">
      <c r="E333" s="67"/>
      <c r="F333" s="7"/>
      <c r="G333" s="7"/>
      <c r="I333" s="7"/>
      <c r="K333" s="62"/>
      <c r="L333" s="7"/>
      <c r="M333" s="7"/>
      <c r="O333" s="7"/>
      <c r="Q333" s="7"/>
      <c r="S333" s="7"/>
      <c r="U333" s="7"/>
      <c r="W333" s="7"/>
    </row>
    <row r="334">
      <c r="E334" s="67"/>
      <c r="F334" s="7"/>
      <c r="G334" s="7"/>
      <c r="I334" s="7"/>
      <c r="K334" s="62"/>
      <c r="L334" s="7"/>
      <c r="M334" s="7"/>
      <c r="O334" s="7"/>
      <c r="Q334" s="7"/>
      <c r="S334" s="7"/>
      <c r="U334" s="7"/>
      <c r="W334" s="7"/>
    </row>
    <row r="335">
      <c r="E335" s="67"/>
      <c r="F335" s="7"/>
      <c r="G335" s="7"/>
      <c r="I335" s="7"/>
      <c r="K335" s="62"/>
      <c r="L335" s="7"/>
      <c r="M335" s="7"/>
      <c r="O335" s="7"/>
      <c r="Q335" s="7"/>
      <c r="S335" s="7"/>
      <c r="U335" s="7"/>
      <c r="W335" s="7"/>
    </row>
    <row r="336">
      <c r="E336" s="67"/>
      <c r="F336" s="7"/>
      <c r="G336" s="7"/>
      <c r="I336" s="7"/>
      <c r="K336" s="62"/>
      <c r="L336" s="7"/>
      <c r="M336" s="7"/>
      <c r="O336" s="7"/>
      <c r="Q336" s="7"/>
      <c r="S336" s="7"/>
      <c r="U336" s="7"/>
      <c r="W336" s="7"/>
    </row>
    <row r="337">
      <c r="E337" s="67"/>
      <c r="F337" s="7"/>
      <c r="G337" s="7"/>
      <c r="I337" s="7"/>
      <c r="K337" s="62"/>
      <c r="L337" s="7"/>
      <c r="M337" s="7"/>
      <c r="O337" s="7"/>
      <c r="Q337" s="7"/>
      <c r="S337" s="7"/>
      <c r="U337" s="7"/>
      <c r="W337" s="7"/>
    </row>
    <row r="338">
      <c r="E338" s="67"/>
      <c r="F338" s="7"/>
      <c r="G338" s="7"/>
      <c r="I338" s="7"/>
      <c r="K338" s="62"/>
      <c r="L338" s="7"/>
      <c r="M338" s="7"/>
      <c r="O338" s="7"/>
      <c r="Q338" s="7"/>
      <c r="S338" s="7"/>
      <c r="U338" s="7"/>
      <c r="W338" s="7"/>
    </row>
    <row r="339">
      <c r="E339" s="67"/>
      <c r="F339" s="7"/>
      <c r="G339" s="7"/>
      <c r="I339" s="7"/>
      <c r="K339" s="62"/>
      <c r="L339" s="7"/>
      <c r="M339" s="7"/>
      <c r="O339" s="7"/>
      <c r="Q339" s="7"/>
      <c r="S339" s="7"/>
      <c r="U339" s="7"/>
      <c r="W339" s="7"/>
    </row>
    <row r="340">
      <c r="E340" s="67"/>
      <c r="F340" s="7"/>
      <c r="G340" s="7"/>
      <c r="I340" s="7"/>
      <c r="K340" s="62"/>
      <c r="L340" s="7"/>
      <c r="M340" s="7"/>
      <c r="O340" s="7"/>
      <c r="Q340" s="7"/>
      <c r="S340" s="7"/>
      <c r="U340" s="7"/>
      <c r="W340" s="7"/>
    </row>
    <row r="341">
      <c r="E341" s="67"/>
      <c r="F341" s="7"/>
      <c r="G341" s="7"/>
      <c r="I341" s="7"/>
      <c r="K341" s="62"/>
      <c r="L341" s="7"/>
      <c r="M341" s="7"/>
      <c r="O341" s="7"/>
      <c r="Q341" s="7"/>
      <c r="S341" s="7"/>
      <c r="U341" s="7"/>
      <c r="W341" s="7"/>
    </row>
    <row r="342">
      <c r="E342" s="67"/>
      <c r="F342" s="7"/>
      <c r="G342" s="7"/>
      <c r="I342" s="7"/>
      <c r="K342" s="62"/>
      <c r="L342" s="7"/>
      <c r="M342" s="7"/>
      <c r="O342" s="7"/>
      <c r="Q342" s="7"/>
      <c r="S342" s="7"/>
      <c r="U342" s="7"/>
      <c r="W342" s="7"/>
    </row>
    <row r="343">
      <c r="E343" s="67"/>
      <c r="F343" s="7"/>
      <c r="G343" s="7"/>
      <c r="I343" s="7"/>
      <c r="K343" s="62"/>
      <c r="L343" s="7"/>
      <c r="M343" s="7"/>
      <c r="O343" s="7"/>
      <c r="Q343" s="7"/>
      <c r="S343" s="7"/>
      <c r="U343" s="7"/>
      <c r="W343" s="7"/>
    </row>
    <row r="344">
      <c r="E344" s="67"/>
      <c r="F344" s="7"/>
      <c r="G344" s="7"/>
      <c r="I344" s="7"/>
      <c r="K344" s="62"/>
      <c r="L344" s="7"/>
      <c r="M344" s="7"/>
      <c r="O344" s="7"/>
      <c r="Q344" s="7"/>
      <c r="S344" s="7"/>
      <c r="U344" s="7"/>
      <c r="W344" s="7"/>
    </row>
    <row r="345">
      <c r="E345" s="67"/>
      <c r="F345" s="7"/>
      <c r="G345" s="7"/>
      <c r="I345" s="7"/>
      <c r="K345" s="62"/>
      <c r="L345" s="7"/>
      <c r="M345" s="7"/>
      <c r="O345" s="7"/>
      <c r="Q345" s="7"/>
      <c r="S345" s="7"/>
      <c r="U345" s="7"/>
      <c r="W345" s="7"/>
    </row>
    <row r="346">
      <c r="E346" s="67"/>
      <c r="F346" s="7"/>
      <c r="G346" s="7"/>
      <c r="I346" s="7"/>
      <c r="K346" s="62"/>
      <c r="L346" s="7"/>
      <c r="M346" s="7"/>
      <c r="O346" s="7"/>
      <c r="Q346" s="7"/>
      <c r="S346" s="7"/>
      <c r="U346" s="7"/>
      <c r="W346" s="7"/>
    </row>
    <row r="347">
      <c r="E347" s="67"/>
      <c r="F347" s="7"/>
      <c r="G347" s="7"/>
      <c r="I347" s="7"/>
      <c r="K347" s="62"/>
      <c r="L347" s="7"/>
      <c r="M347" s="7"/>
      <c r="O347" s="7"/>
      <c r="Q347" s="7"/>
      <c r="S347" s="7"/>
      <c r="U347" s="7"/>
      <c r="W347" s="7"/>
    </row>
    <row r="348">
      <c r="E348" s="67"/>
      <c r="F348" s="7"/>
      <c r="G348" s="7"/>
      <c r="I348" s="7"/>
      <c r="K348" s="62"/>
      <c r="L348" s="7"/>
      <c r="M348" s="7"/>
      <c r="O348" s="7"/>
      <c r="Q348" s="7"/>
      <c r="S348" s="7"/>
      <c r="U348" s="7"/>
      <c r="W348" s="7"/>
    </row>
    <row r="349">
      <c r="E349" s="67"/>
      <c r="F349" s="7"/>
      <c r="G349" s="7"/>
      <c r="I349" s="7"/>
      <c r="K349" s="62"/>
      <c r="L349" s="7"/>
      <c r="M349" s="7"/>
      <c r="O349" s="7"/>
      <c r="Q349" s="7"/>
      <c r="S349" s="7"/>
      <c r="U349" s="7"/>
      <c r="W349" s="7"/>
    </row>
    <row r="350">
      <c r="E350" s="67"/>
      <c r="F350" s="7"/>
      <c r="G350" s="7"/>
      <c r="I350" s="7"/>
      <c r="K350" s="62"/>
      <c r="L350" s="7"/>
      <c r="M350" s="7"/>
      <c r="O350" s="7"/>
      <c r="Q350" s="7"/>
      <c r="S350" s="7"/>
      <c r="U350" s="7"/>
      <c r="W350" s="7"/>
    </row>
    <row r="351">
      <c r="E351" s="67"/>
      <c r="F351" s="7"/>
      <c r="G351" s="7"/>
      <c r="I351" s="7"/>
      <c r="K351" s="62"/>
      <c r="L351" s="7"/>
      <c r="M351" s="7"/>
      <c r="O351" s="7"/>
      <c r="Q351" s="7"/>
      <c r="S351" s="7"/>
      <c r="U351" s="7"/>
      <c r="W351" s="7"/>
    </row>
    <row r="352">
      <c r="E352" s="67"/>
      <c r="F352" s="7"/>
      <c r="G352" s="7"/>
      <c r="I352" s="7"/>
      <c r="K352" s="62"/>
      <c r="L352" s="7"/>
      <c r="M352" s="7"/>
      <c r="O352" s="7"/>
      <c r="Q352" s="7"/>
      <c r="S352" s="7"/>
      <c r="U352" s="7"/>
      <c r="W352" s="7"/>
    </row>
    <row r="353">
      <c r="E353" s="67"/>
      <c r="F353" s="7"/>
      <c r="G353" s="7"/>
      <c r="I353" s="7"/>
      <c r="K353" s="62"/>
      <c r="L353" s="7"/>
      <c r="M353" s="7"/>
      <c r="O353" s="7"/>
      <c r="Q353" s="7"/>
      <c r="S353" s="7"/>
      <c r="U353" s="7"/>
      <c r="W353" s="7"/>
    </row>
    <row r="354">
      <c r="E354" s="67"/>
      <c r="F354" s="7"/>
      <c r="G354" s="7"/>
      <c r="I354" s="7"/>
      <c r="K354" s="62"/>
      <c r="L354" s="7"/>
      <c r="M354" s="7"/>
      <c r="O354" s="7"/>
      <c r="Q354" s="7"/>
      <c r="S354" s="7"/>
      <c r="U354" s="7"/>
      <c r="W354" s="7"/>
    </row>
    <row r="355">
      <c r="E355" s="67"/>
      <c r="F355" s="7"/>
      <c r="G355" s="7"/>
      <c r="I355" s="7"/>
      <c r="K355" s="62"/>
      <c r="L355" s="7"/>
      <c r="M355" s="7"/>
      <c r="O355" s="7"/>
      <c r="Q355" s="7"/>
      <c r="S355" s="7"/>
      <c r="U355" s="7"/>
      <c r="W355" s="7"/>
    </row>
    <row r="356">
      <c r="E356" s="67"/>
      <c r="F356" s="7"/>
      <c r="G356" s="7"/>
      <c r="I356" s="7"/>
      <c r="K356" s="62"/>
      <c r="L356" s="7"/>
      <c r="M356" s="7"/>
      <c r="O356" s="7"/>
      <c r="Q356" s="7"/>
      <c r="S356" s="7"/>
      <c r="U356" s="7"/>
      <c r="W356" s="7"/>
    </row>
    <row r="357">
      <c r="E357" s="67"/>
      <c r="F357" s="7"/>
      <c r="G357" s="7"/>
      <c r="I357" s="7"/>
      <c r="K357" s="62"/>
      <c r="L357" s="7"/>
      <c r="M357" s="7"/>
      <c r="O357" s="7"/>
      <c r="Q357" s="7"/>
      <c r="S357" s="7"/>
      <c r="U357" s="7"/>
      <c r="W357" s="7"/>
    </row>
    <row r="358">
      <c r="E358" s="67"/>
      <c r="F358" s="7"/>
      <c r="G358" s="7"/>
      <c r="I358" s="7"/>
      <c r="K358" s="62"/>
      <c r="L358" s="7"/>
      <c r="M358" s="7"/>
      <c r="O358" s="7"/>
      <c r="Q358" s="7"/>
      <c r="S358" s="7"/>
      <c r="U358" s="7"/>
      <c r="W358" s="7"/>
    </row>
    <row r="359">
      <c r="E359" s="67"/>
      <c r="F359" s="7"/>
      <c r="G359" s="7"/>
      <c r="I359" s="7"/>
      <c r="K359" s="62"/>
      <c r="L359" s="7"/>
      <c r="M359" s="7"/>
      <c r="O359" s="7"/>
      <c r="Q359" s="7"/>
      <c r="S359" s="7"/>
      <c r="U359" s="7"/>
      <c r="W359" s="7"/>
    </row>
    <row r="360">
      <c r="E360" s="67"/>
      <c r="F360" s="7"/>
      <c r="G360" s="7"/>
      <c r="I360" s="7"/>
      <c r="K360" s="62"/>
      <c r="L360" s="7"/>
      <c r="M360" s="7"/>
      <c r="O360" s="7"/>
      <c r="Q360" s="7"/>
      <c r="S360" s="7"/>
      <c r="U360" s="7"/>
      <c r="W360" s="7"/>
    </row>
    <row r="361">
      <c r="E361" s="67"/>
      <c r="F361" s="7"/>
      <c r="G361" s="7"/>
      <c r="I361" s="7"/>
      <c r="K361" s="62"/>
      <c r="L361" s="7"/>
      <c r="M361" s="7"/>
      <c r="O361" s="7"/>
      <c r="Q361" s="7"/>
      <c r="S361" s="7"/>
      <c r="U361" s="7"/>
      <c r="W361" s="7"/>
    </row>
    <row r="362">
      <c r="E362" s="67"/>
      <c r="F362" s="7"/>
      <c r="G362" s="7"/>
      <c r="I362" s="7"/>
      <c r="K362" s="62"/>
      <c r="L362" s="7"/>
      <c r="M362" s="7"/>
      <c r="O362" s="7"/>
      <c r="Q362" s="7"/>
      <c r="S362" s="7"/>
      <c r="U362" s="7"/>
      <c r="W362" s="7"/>
    </row>
    <row r="363">
      <c r="E363" s="67"/>
      <c r="F363" s="7"/>
      <c r="G363" s="7"/>
      <c r="I363" s="7"/>
      <c r="K363" s="62"/>
      <c r="L363" s="7"/>
      <c r="M363" s="7"/>
      <c r="O363" s="7"/>
      <c r="Q363" s="7"/>
      <c r="S363" s="7"/>
      <c r="U363" s="7"/>
      <c r="W363" s="7"/>
    </row>
    <row r="364">
      <c r="E364" s="67"/>
      <c r="F364" s="7"/>
      <c r="G364" s="7"/>
      <c r="I364" s="7"/>
      <c r="K364" s="62"/>
      <c r="L364" s="7"/>
      <c r="M364" s="7"/>
      <c r="O364" s="7"/>
      <c r="Q364" s="7"/>
      <c r="S364" s="7"/>
      <c r="U364" s="7"/>
      <c r="W364" s="7"/>
    </row>
    <row r="365">
      <c r="E365" s="67"/>
      <c r="F365" s="7"/>
      <c r="G365" s="7"/>
      <c r="I365" s="7"/>
      <c r="K365" s="62"/>
      <c r="L365" s="7"/>
      <c r="M365" s="7"/>
      <c r="O365" s="7"/>
      <c r="Q365" s="7"/>
      <c r="S365" s="7"/>
      <c r="U365" s="7"/>
      <c r="W365" s="7"/>
    </row>
    <row r="366">
      <c r="E366" s="67"/>
      <c r="F366" s="7"/>
      <c r="G366" s="7"/>
      <c r="I366" s="7"/>
      <c r="K366" s="62"/>
      <c r="L366" s="7"/>
      <c r="M366" s="7"/>
      <c r="O366" s="7"/>
      <c r="Q366" s="7"/>
      <c r="S366" s="7"/>
      <c r="U366" s="7"/>
      <c r="W366" s="7"/>
    </row>
    <row r="367">
      <c r="E367" s="67"/>
      <c r="F367" s="7"/>
      <c r="G367" s="7"/>
      <c r="I367" s="7"/>
      <c r="K367" s="62"/>
      <c r="L367" s="7"/>
      <c r="M367" s="7"/>
      <c r="O367" s="7"/>
      <c r="Q367" s="7"/>
      <c r="S367" s="7"/>
      <c r="U367" s="7"/>
      <c r="W367" s="7"/>
    </row>
    <row r="368">
      <c r="E368" s="67"/>
      <c r="F368" s="7"/>
      <c r="G368" s="7"/>
      <c r="I368" s="7"/>
      <c r="K368" s="62"/>
      <c r="L368" s="7"/>
      <c r="M368" s="7"/>
      <c r="O368" s="7"/>
      <c r="Q368" s="7"/>
      <c r="S368" s="7"/>
      <c r="U368" s="7"/>
      <c r="W368" s="7"/>
    </row>
    <row r="369">
      <c r="E369" s="67"/>
      <c r="F369" s="7"/>
      <c r="G369" s="7"/>
      <c r="I369" s="7"/>
      <c r="K369" s="62"/>
      <c r="L369" s="7"/>
      <c r="M369" s="7"/>
      <c r="O369" s="7"/>
      <c r="Q369" s="7"/>
      <c r="S369" s="7"/>
      <c r="U369" s="7"/>
      <c r="W369" s="7"/>
    </row>
    <row r="370">
      <c r="E370" s="67"/>
      <c r="F370" s="7"/>
      <c r="G370" s="7"/>
      <c r="I370" s="7"/>
      <c r="K370" s="62"/>
      <c r="L370" s="7"/>
      <c r="M370" s="7"/>
      <c r="O370" s="7"/>
      <c r="Q370" s="7"/>
      <c r="S370" s="7"/>
      <c r="U370" s="7"/>
      <c r="W370" s="7"/>
    </row>
    <row r="371">
      <c r="E371" s="67"/>
      <c r="F371" s="7"/>
      <c r="G371" s="7"/>
      <c r="I371" s="7"/>
      <c r="K371" s="62"/>
      <c r="L371" s="7"/>
      <c r="M371" s="7"/>
      <c r="O371" s="7"/>
      <c r="Q371" s="7"/>
      <c r="S371" s="7"/>
      <c r="U371" s="7"/>
      <c r="W371" s="7"/>
    </row>
    <row r="372">
      <c r="E372" s="67"/>
      <c r="F372" s="7"/>
      <c r="G372" s="7"/>
      <c r="I372" s="7"/>
      <c r="K372" s="62"/>
      <c r="L372" s="7"/>
      <c r="M372" s="7"/>
      <c r="O372" s="7"/>
      <c r="Q372" s="7"/>
      <c r="S372" s="7"/>
      <c r="U372" s="7"/>
      <c r="W372" s="7"/>
    </row>
    <row r="373">
      <c r="E373" s="67"/>
      <c r="F373" s="7"/>
      <c r="G373" s="7"/>
      <c r="I373" s="7"/>
      <c r="K373" s="62"/>
      <c r="L373" s="7"/>
      <c r="M373" s="7"/>
      <c r="O373" s="7"/>
      <c r="Q373" s="7"/>
      <c r="S373" s="7"/>
      <c r="U373" s="7"/>
      <c r="W373" s="7"/>
    </row>
    <row r="374">
      <c r="E374" s="67"/>
      <c r="F374" s="7"/>
      <c r="G374" s="7"/>
      <c r="I374" s="7"/>
      <c r="K374" s="62"/>
      <c r="L374" s="7"/>
      <c r="M374" s="7"/>
      <c r="O374" s="7"/>
      <c r="Q374" s="7"/>
      <c r="S374" s="7"/>
      <c r="U374" s="7"/>
      <c r="W374" s="7"/>
    </row>
    <row r="375">
      <c r="E375" s="67"/>
      <c r="F375" s="7"/>
      <c r="G375" s="7"/>
      <c r="I375" s="7"/>
      <c r="K375" s="62"/>
      <c r="L375" s="7"/>
      <c r="M375" s="7"/>
      <c r="O375" s="7"/>
      <c r="Q375" s="7"/>
      <c r="S375" s="7"/>
      <c r="U375" s="7"/>
      <c r="W375" s="7"/>
    </row>
    <row r="376">
      <c r="E376" s="67"/>
      <c r="F376" s="7"/>
      <c r="G376" s="7"/>
      <c r="I376" s="7"/>
      <c r="K376" s="62"/>
      <c r="L376" s="7"/>
      <c r="M376" s="7"/>
      <c r="O376" s="7"/>
      <c r="Q376" s="7"/>
      <c r="S376" s="7"/>
      <c r="U376" s="7"/>
      <c r="W376" s="7"/>
    </row>
    <row r="377">
      <c r="E377" s="67"/>
      <c r="F377" s="7"/>
      <c r="G377" s="7"/>
      <c r="I377" s="7"/>
      <c r="K377" s="62"/>
      <c r="L377" s="7"/>
      <c r="M377" s="7"/>
      <c r="O377" s="7"/>
      <c r="Q377" s="7"/>
      <c r="S377" s="7"/>
      <c r="U377" s="7"/>
      <c r="W377" s="7"/>
    </row>
    <row r="378">
      <c r="E378" s="67"/>
      <c r="F378" s="7"/>
      <c r="G378" s="7"/>
      <c r="I378" s="7"/>
      <c r="K378" s="62"/>
      <c r="L378" s="7"/>
      <c r="M378" s="7"/>
      <c r="O378" s="7"/>
      <c r="Q378" s="7"/>
      <c r="S378" s="7"/>
      <c r="U378" s="7"/>
      <c r="W378" s="7"/>
    </row>
    <row r="379">
      <c r="E379" s="67"/>
      <c r="F379" s="7"/>
      <c r="G379" s="7"/>
      <c r="I379" s="7"/>
      <c r="K379" s="62"/>
      <c r="L379" s="7"/>
      <c r="M379" s="7"/>
      <c r="O379" s="7"/>
      <c r="Q379" s="7"/>
      <c r="S379" s="7"/>
      <c r="U379" s="7"/>
      <c r="W379" s="7"/>
    </row>
    <row r="380">
      <c r="E380" s="67"/>
      <c r="F380" s="7"/>
      <c r="G380" s="7"/>
      <c r="I380" s="7"/>
      <c r="K380" s="62"/>
      <c r="L380" s="7"/>
      <c r="M380" s="7"/>
      <c r="O380" s="7"/>
      <c r="Q380" s="7"/>
      <c r="S380" s="7"/>
      <c r="U380" s="7"/>
      <c r="W380" s="7"/>
    </row>
    <row r="381">
      <c r="E381" s="67"/>
      <c r="F381" s="7"/>
      <c r="G381" s="7"/>
      <c r="I381" s="7"/>
      <c r="K381" s="62"/>
      <c r="L381" s="7"/>
      <c r="M381" s="7"/>
      <c r="O381" s="7"/>
      <c r="Q381" s="7"/>
      <c r="S381" s="7"/>
      <c r="U381" s="7"/>
      <c r="W381" s="7"/>
    </row>
    <row r="382">
      <c r="E382" s="67"/>
      <c r="F382" s="7"/>
      <c r="G382" s="7"/>
      <c r="I382" s="7"/>
      <c r="K382" s="62"/>
      <c r="L382" s="7"/>
      <c r="M382" s="7"/>
      <c r="O382" s="7"/>
      <c r="Q382" s="7"/>
      <c r="S382" s="7"/>
      <c r="U382" s="7"/>
      <c r="W382" s="7"/>
    </row>
    <row r="383">
      <c r="E383" s="67"/>
      <c r="F383" s="7"/>
      <c r="G383" s="7"/>
      <c r="I383" s="7"/>
      <c r="K383" s="62"/>
      <c r="L383" s="7"/>
      <c r="M383" s="7"/>
      <c r="O383" s="7"/>
      <c r="Q383" s="7"/>
      <c r="S383" s="7"/>
      <c r="U383" s="7"/>
      <c r="W383" s="7"/>
    </row>
    <row r="384">
      <c r="E384" s="67"/>
      <c r="F384" s="7"/>
      <c r="G384" s="7"/>
      <c r="I384" s="7"/>
      <c r="K384" s="62"/>
      <c r="L384" s="7"/>
      <c r="M384" s="7"/>
      <c r="O384" s="7"/>
      <c r="Q384" s="7"/>
      <c r="S384" s="7"/>
      <c r="U384" s="7"/>
      <c r="W384" s="7"/>
    </row>
    <row r="385">
      <c r="E385" s="67"/>
      <c r="F385" s="7"/>
      <c r="G385" s="7"/>
      <c r="I385" s="7"/>
      <c r="K385" s="62"/>
      <c r="L385" s="7"/>
      <c r="M385" s="7"/>
      <c r="O385" s="7"/>
      <c r="Q385" s="7"/>
      <c r="S385" s="7"/>
      <c r="U385" s="7"/>
      <c r="W385" s="7"/>
    </row>
    <row r="386">
      <c r="E386" s="67"/>
      <c r="F386" s="7"/>
      <c r="G386" s="7"/>
      <c r="I386" s="7"/>
      <c r="K386" s="62"/>
      <c r="L386" s="7"/>
      <c r="M386" s="7"/>
      <c r="O386" s="7"/>
      <c r="Q386" s="7"/>
      <c r="S386" s="7"/>
      <c r="U386" s="7"/>
      <c r="W386" s="7"/>
    </row>
    <row r="387">
      <c r="E387" s="67"/>
      <c r="F387" s="7"/>
      <c r="G387" s="7"/>
      <c r="I387" s="7"/>
      <c r="K387" s="62"/>
      <c r="L387" s="7"/>
      <c r="M387" s="7"/>
      <c r="O387" s="7"/>
      <c r="Q387" s="7"/>
      <c r="S387" s="7"/>
      <c r="U387" s="7"/>
      <c r="W387" s="7"/>
    </row>
    <row r="388">
      <c r="E388" s="67"/>
      <c r="F388" s="7"/>
      <c r="G388" s="7"/>
      <c r="I388" s="7"/>
      <c r="K388" s="62"/>
      <c r="L388" s="7"/>
      <c r="M388" s="7"/>
      <c r="O388" s="7"/>
      <c r="Q388" s="7"/>
      <c r="S388" s="7"/>
      <c r="U388" s="7"/>
      <c r="W388" s="7"/>
    </row>
    <row r="389">
      <c r="E389" s="67"/>
      <c r="F389" s="7"/>
      <c r="G389" s="7"/>
      <c r="I389" s="7"/>
      <c r="K389" s="62"/>
      <c r="L389" s="7"/>
      <c r="M389" s="7"/>
      <c r="O389" s="7"/>
      <c r="Q389" s="7"/>
      <c r="S389" s="7"/>
      <c r="U389" s="7"/>
      <c r="W389" s="7"/>
    </row>
    <row r="390">
      <c r="E390" s="67"/>
      <c r="F390" s="7"/>
      <c r="G390" s="7"/>
      <c r="I390" s="7"/>
      <c r="K390" s="62"/>
      <c r="L390" s="7"/>
      <c r="M390" s="7"/>
      <c r="O390" s="7"/>
      <c r="Q390" s="7"/>
      <c r="S390" s="7"/>
      <c r="U390" s="7"/>
      <c r="W390" s="7"/>
    </row>
    <row r="391">
      <c r="E391" s="67"/>
      <c r="F391" s="7"/>
      <c r="G391" s="7"/>
      <c r="I391" s="7"/>
      <c r="K391" s="62"/>
      <c r="L391" s="7"/>
      <c r="M391" s="7"/>
      <c r="O391" s="7"/>
      <c r="Q391" s="7"/>
      <c r="S391" s="7"/>
      <c r="U391" s="7"/>
      <c r="W391" s="7"/>
    </row>
    <row r="392">
      <c r="E392" s="67"/>
      <c r="F392" s="7"/>
      <c r="G392" s="7"/>
      <c r="I392" s="7"/>
      <c r="K392" s="62"/>
      <c r="L392" s="7"/>
      <c r="M392" s="7"/>
      <c r="O392" s="7"/>
      <c r="Q392" s="7"/>
      <c r="S392" s="7"/>
      <c r="U392" s="7"/>
      <c r="W392" s="7"/>
    </row>
    <row r="393">
      <c r="E393" s="67"/>
      <c r="F393" s="7"/>
      <c r="G393" s="7"/>
      <c r="I393" s="7"/>
      <c r="K393" s="62"/>
      <c r="L393" s="7"/>
      <c r="M393" s="7"/>
      <c r="O393" s="7"/>
      <c r="Q393" s="7"/>
      <c r="S393" s="7"/>
      <c r="U393" s="7"/>
      <c r="W393" s="7"/>
    </row>
    <row r="394">
      <c r="E394" s="67"/>
      <c r="F394" s="7"/>
      <c r="G394" s="7"/>
      <c r="I394" s="7"/>
      <c r="K394" s="62"/>
      <c r="L394" s="7"/>
      <c r="M394" s="7"/>
      <c r="O394" s="7"/>
      <c r="Q394" s="7"/>
      <c r="S394" s="7"/>
      <c r="U394" s="7"/>
      <c r="W394" s="7"/>
    </row>
    <row r="395">
      <c r="E395" s="67"/>
      <c r="F395" s="7"/>
      <c r="G395" s="7"/>
      <c r="I395" s="7"/>
      <c r="K395" s="62"/>
      <c r="L395" s="7"/>
      <c r="M395" s="7"/>
      <c r="O395" s="7"/>
      <c r="Q395" s="7"/>
      <c r="S395" s="7"/>
      <c r="U395" s="7"/>
      <c r="W395" s="7"/>
    </row>
    <row r="396">
      <c r="E396" s="67"/>
      <c r="F396" s="7"/>
      <c r="G396" s="7"/>
      <c r="I396" s="7"/>
      <c r="K396" s="62"/>
      <c r="L396" s="7"/>
      <c r="M396" s="7"/>
      <c r="O396" s="7"/>
      <c r="Q396" s="7"/>
      <c r="S396" s="7"/>
      <c r="U396" s="7"/>
      <c r="W396" s="7"/>
    </row>
    <row r="397">
      <c r="E397" s="67"/>
      <c r="F397" s="7"/>
      <c r="G397" s="7"/>
      <c r="I397" s="7"/>
      <c r="K397" s="62"/>
      <c r="L397" s="7"/>
      <c r="M397" s="7"/>
      <c r="O397" s="7"/>
      <c r="Q397" s="7"/>
      <c r="S397" s="7"/>
      <c r="U397" s="7"/>
      <c r="W397" s="7"/>
    </row>
    <row r="398">
      <c r="E398" s="67"/>
      <c r="F398" s="7"/>
      <c r="G398" s="7"/>
      <c r="I398" s="7"/>
      <c r="K398" s="62"/>
      <c r="L398" s="7"/>
      <c r="M398" s="7"/>
      <c r="O398" s="7"/>
      <c r="Q398" s="7"/>
      <c r="S398" s="7"/>
      <c r="U398" s="7"/>
      <c r="W398" s="7"/>
    </row>
    <row r="399">
      <c r="E399" s="67"/>
      <c r="F399" s="7"/>
      <c r="G399" s="7"/>
      <c r="I399" s="7"/>
      <c r="K399" s="62"/>
      <c r="L399" s="7"/>
      <c r="M399" s="7"/>
      <c r="O399" s="7"/>
      <c r="Q399" s="7"/>
      <c r="S399" s="7"/>
      <c r="U399" s="7"/>
      <c r="W399" s="7"/>
    </row>
    <row r="400">
      <c r="E400" s="67"/>
      <c r="F400" s="7"/>
      <c r="G400" s="7"/>
      <c r="I400" s="7"/>
      <c r="K400" s="62"/>
      <c r="L400" s="7"/>
      <c r="M400" s="7"/>
      <c r="O400" s="7"/>
      <c r="Q400" s="7"/>
      <c r="S400" s="7"/>
      <c r="U400" s="7"/>
      <c r="W400" s="7"/>
    </row>
    <row r="401">
      <c r="E401" s="67"/>
      <c r="F401" s="7"/>
      <c r="G401" s="7"/>
      <c r="I401" s="7"/>
      <c r="K401" s="62"/>
      <c r="L401" s="7"/>
      <c r="M401" s="7"/>
      <c r="O401" s="7"/>
      <c r="Q401" s="7"/>
      <c r="S401" s="7"/>
      <c r="U401" s="7"/>
      <c r="W401" s="7"/>
    </row>
    <row r="402">
      <c r="E402" s="67"/>
      <c r="F402" s="7"/>
      <c r="G402" s="7"/>
      <c r="I402" s="7"/>
      <c r="K402" s="62"/>
      <c r="L402" s="7"/>
      <c r="M402" s="7"/>
      <c r="O402" s="7"/>
      <c r="Q402" s="7"/>
      <c r="S402" s="7"/>
      <c r="U402" s="7"/>
      <c r="W402" s="7"/>
    </row>
    <row r="403">
      <c r="E403" s="67"/>
      <c r="F403" s="7"/>
      <c r="G403" s="7"/>
      <c r="I403" s="7"/>
      <c r="K403" s="62"/>
      <c r="L403" s="7"/>
      <c r="M403" s="7"/>
      <c r="O403" s="7"/>
      <c r="Q403" s="7"/>
      <c r="S403" s="7"/>
      <c r="U403" s="7"/>
      <c r="W403" s="7"/>
    </row>
    <row r="404">
      <c r="E404" s="67"/>
      <c r="F404" s="7"/>
      <c r="G404" s="7"/>
      <c r="I404" s="7"/>
      <c r="K404" s="62"/>
      <c r="L404" s="7"/>
      <c r="M404" s="7"/>
      <c r="O404" s="7"/>
      <c r="Q404" s="7"/>
      <c r="S404" s="7"/>
      <c r="U404" s="7"/>
      <c r="W404" s="7"/>
    </row>
    <row r="405">
      <c r="E405" s="67"/>
      <c r="F405" s="7"/>
      <c r="G405" s="7"/>
      <c r="I405" s="7"/>
      <c r="K405" s="62"/>
      <c r="L405" s="7"/>
      <c r="M405" s="7"/>
      <c r="O405" s="7"/>
      <c r="Q405" s="7"/>
      <c r="S405" s="7"/>
      <c r="U405" s="7"/>
      <c r="W405" s="7"/>
    </row>
    <row r="406">
      <c r="E406" s="67"/>
      <c r="F406" s="7"/>
      <c r="G406" s="7"/>
      <c r="I406" s="7"/>
      <c r="K406" s="62"/>
      <c r="L406" s="7"/>
      <c r="M406" s="7"/>
      <c r="O406" s="7"/>
      <c r="Q406" s="7"/>
      <c r="S406" s="7"/>
      <c r="U406" s="7"/>
      <c r="W406" s="7"/>
    </row>
    <row r="407">
      <c r="E407" s="67"/>
      <c r="F407" s="7"/>
      <c r="G407" s="7"/>
      <c r="I407" s="7"/>
      <c r="K407" s="62"/>
      <c r="L407" s="7"/>
      <c r="M407" s="7"/>
      <c r="O407" s="7"/>
      <c r="Q407" s="7"/>
      <c r="S407" s="7"/>
      <c r="U407" s="7"/>
      <c r="W407" s="7"/>
    </row>
    <row r="408">
      <c r="E408" s="67"/>
      <c r="F408" s="7"/>
      <c r="G408" s="7"/>
      <c r="I408" s="7"/>
      <c r="K408" s="62"/>
      <c r="L408" s="7"/>
      <c r="M408" s="7"/>
      <c r="O408" s="7"/>
      <c r="Q408" s="7"/>
      <c r="S408" s="7"/>
      <c r="U408" s="7"/>
      <c r="W408" s="7"/>
    </row>
    <row r="409">
      <c r="E409" s="67"/>
      <c r="F409" s="7"/>
      <c r="G409" s="7"/>
      <c r="I409" s="7"/>
      <c r="K409" s="62"/>
      <c r="L409" s="7"/>
      <c r="M409" s="7"/>
      <c r="O409" s="7"/>
      <c r="Q409" s="7"/>
      <c r="S409" s="7"/>
      <c r="U409" s="7"/>
      <c r="W409" s="7"/>
    </row>
    <row r="410">
      <c r="E410" s="67"/>
      <c r="F410" s="7"/>
      <c r="G410" s="7"/>
      <c r="I410" s="7"/>
      <c r="K410" s="62"/>
      <c r="L410" s="7"/>
      <c r="M410" s="7"/>
      <c r="O410" s="7"/>
      <c r="Q410" s="7"/>
      <c r="S410" s="7"/>
      <c r="U410" s="7"/>
      <c r="W410" s="7"/>
    </row>
    <row r="411">
      <c r="E411" s="67"/>
      <c r="F411" s="7"/>
      <c r="G411" s="7"/>
      <c r="I411" s="7"/>
      <c r="K411" s="62"/>
      <c r="L411" s="7"/>
      <c r="M411" s="7"/>
      <c r="O411" s="7"/>
      <c r="Q411" s="7"/>
      <c r="S411" s="7"/>
      <c r="U411" s="7"/>
      <c r="W411" s="7"/>
    </row>
    <row r="412">
      <c r="E412" s="67"/>
      <c r="F412" s="7"/>
      <c r="G412" s="7"/>
      <c r="I412" s="7"/>
      <c r="K412" s="62"/>
      <c r="L412" s="7"/>
      <c r="M412" s="7"/>
      <c r="O412" s="7"/>
      <c r="Q412" s="7"/>
      <c r="S412" s="7"/>
      <c r="U412" s="7"/>
      <c r="W412" s="7"/>
    </row>
    <row r="413">
      <c r="E413" s="67"/>
      <c r="F413" s="7"/>
      <c r="G413" s="7"/>
      <c r="I413" s="7"/>
      <c r="K413" s="62"/>
      <c r="L413" s="7"/>
      <c r="M413" s="7"/>
      <c r="O413" s="7"/>
      <c r="Q413" s="7"/>
      <c r="S413" s="7"/>
      <c r="U413" s="7"/>
      <c r="W413" s="7"/>
    </row>
    <row r="414">
      <c r="E414" s="67"/>
      <c r="F414" s="7"/>
      <c r="G414" s="7"/>
      <c r="I414" s="7"/>
      <c r="K414" s="62"/>
      <c r="L414" s="7"/>
      <c r="M414" s="7"/>
      <c r="O414" s="7"/>
      <c r="Q414" s="7"/>
      <c r="S414" s="7"/>
      <c r="U414" s="7"/>
      <c r="W414" s="7"/>
    </row>
    <row r="415">
      <c r="E415" s="67"/>
      <c r="F415" s="7"/>
      <c r="G415" s="7"/>
      <c r="I415" s="7"/>
      <c r="K415" s="62"/>
      <c r="L415" s="7"/>
      <c r="M415" s="7"/>
      <c r="O415" s="7"/>
      <c r="Q415" s="7"/>
      <c r="S415" s="7"/>
      <c r="U415" s="7"/>
      <c r="W415" s="7"/>
    </row>
    <row r="416">
      <c r="E416" s="67"/>
      <c r="F416" s="7"/>
      <c r="G416" s="7"/>
      <c r="I416" s="7"/>
      <c r="K416" s="62"/>
      <c r="L416" s="7"/>
      <c r="M416" s="7"/>
      <c r="O416" s="7"/>
      <c r="Q416" s="7"/>
      <c r="S416" s="7"/>
      <c r="U416" s="7"/>
      <c r="W416" s="7"/>
    </row>
    <row r="417">
      <c r="E417" s="67"/>
      <c r="F417" s="7"/>
      <c r="G417" s="7"/>
      <c r="I417" s="7"/>
      <c r="K417" s="62"/>
      <c r="L417" s="7"/>
      <c r="M417" s="7"/>
      <c r="O417" s="7"/>
      <c r="Q417" s="7"/>
      <c r="S417" s="7"/>
      <c r="U417" s="7"/>
      <c r="W417" s="7"/>
    </row>
    <row r="418">
      <c r="E418" s="67"/>
      <c r="F418" s="7"/>
      <c r="G418" s="7"/>
      <c r="I418" s="7"/>
      <c r="K418" s="62"/>
      <c r="L418" s="7"/>
      <c r="M418" s="7"/>
      <c r="O418" s="7"/>
      <c r="Q418" s="7"/>
      <c r="S418" s="7"/>
      <c r="U418" s="7"/>
      <c r="W418" s="7"/>
    </row>
    <row r="419">
      <c r="E419" s="67"/>
      <c r="F419" s="7"/>
      <c r="G419" s="7"/>
      <c r="I419" s="7"/>
      <c r="K419" s="62"/>
      <c r="L419" s="7"/>
      <c r="M419" s="7"/>
      <c r="O419" s="7"/>
      <c r="Q419" s="7"/>
      <c r="S419" s="7"/>
      <c r="U419" s="7"/>
      <c r="W419" s="7"/>
    </row>
    <row r="420">
      <c r="E420" s="67"/>
      <c r="F420" s="7"/>
      <c r="G420" s="7"/>
      <c r="I420" s="7"/>
      <c r="K420" s="62"/>
      <c r="L420" s="7"/>
      <c r="M420" s="7"/>
      <c r="O420" s="7"/>
      <c r="Q420" s="7"/>
      <c r="S420" s="7"/>
      <c r="U420" s="7"/>
      <c r="W420" s="7"/>
    </row>
    <row r="421">
      <c r="E421" s="67"/>
      <c r="F421" s="7"/>
      <c r="G421" s="7"/>
      <c r="I421" s="7"/>
      <c r="K421" s="62"/>
      <c r="L421" s="7"/>
      <c r="M421" s="7"/>
      <c r="O421" s="7"/>
      <c r="Q421" s="7"/>
      <c r="S421" s="7"/>
      <c r="U421" s="7"/>
      <c r="W421" s="7"/>
    </row>
    <row r="422">
      <c r="E422" s="67"/>
      <c r="F422" s="7"/>
      <c r="G422" s="7"/>
      <c r="I422" s="7"/>
      <c r="K422" s="62"/>
      <c r="L422" s="7"/>
      <c r="M422" s="7"/>
      <c r="O422" s="7"/>
      <c r="Q422" s="7"/>
      <c r="S422" s="7"/>
      <c r="U422" s="7"/>
      <c r="W422" s="7"/>
    </row>
    <row r="423">
      <c r="E423" s="67"/>
      <c r="F423" s="7"/>
      <c r="G423" s="7"/>
      <c r="I423" s="7"/>
      <c r="K423" s="62"/>
      <c r="L423" s="7"/>
      <c r="M423" s="7"/>
      <c r="O423" s="7"/>
      <c r="Q423" s="7"/>
      <c r="S423" s="7"/>
      <c r="U423" s="7"/>
      <c r="W423" s="7"/>
    </row>
    <row r="424">
      <c r="E424" s="67"/>
      <c r="F424" s="7"/>
      <c r="G424" s="7"/>
      <c r="I424" s="7"/>
      <c r="K424" s="62"/>
      <c r="L424" s="7"/>
      <c r="M424" s="7"/>
      <c r="O424" s="7"/>
      <c r="Q424" s="7"/>
      <c r="S424" s="7"/>
      <c r="U424" s="7"/>
      <c r="W424" s="7"/>
    </row>
    <row r="425">
      <c r="E425" s="67"/>
      <c r="F425" s="7"/>
      <c r="G425" s="7"/>
      <c r="I425" s="7"/>
      <c r="K425" s="62"/>
      <c r="L425" s="7"/>
      <c r="M425" s="7"/>
      <c r="O425" s="7"/>
      <c r="Q425" s="7"/>
      <c r="S425" s="7"/>
      <c r="U425" s="7"/>
      <c r="W425" s="7"/>
    </row>
    <row r="426">
      <c r="E426" s="67"/>
      <c r="F426" s="7"/>
      <c r="G426" s="7"/>
      <c r="I426" s="7"/>
      <c r="K426" s="62"/>
      <c r="L426" s="7"/>
      <c r="M426" s="7"/>
      <c r="O426" s="7"/>
      <c r="Q426" s="7"/>
      <c r="S426" s="7"/>
      <c r="U426" s="7"/>
      <c r="W426" s="7"/>
    </row>
    <row r="427">
      <c r="E427" s="67"/>
      <c r="F427" s="7"/>
      <c r="G427" s="7"/>
      <c r="I427" s="7"/>
      <c r="K427" s="62"/>
      <c r="L427" s="7"/>
      <c r="M427" s="7"/>
      <c r="O427" s="7"/>
      <c r="Q427" s="7"/>
      <c r="S427" s="7"/>
      <c r="U427" s="7"/>
      <c r="W427" s="7"/>
    </row>
    <row r="428">
      <c r="E428" s="67"/>
      <c r="F428" s="7"/>
      <c r="G428" s="7"/>
      <c r="I428" s="7"/>
      <c r="K428" s="62"/>
      <c r="L428" s="7"/>
      <c r="M428" s="7"/>
      <c r="O428" s="7"/>
      <c r="Q428" s="7"/>
      <c r="S428" s="7"/>
      <c r="U428" s="7"/>
      <c r="W428" s="7"/>
    </row>
    <row r="429">
      <c r="E429" s="67"/>
      <c r="F429" s="7"/>
      <c r="G429" s="7"/>
      <c r="I429" s="7"/>
      <c r="K429" s="62"/>
      <c r="L429" s="7"/>
      <c r="M429" s="7"/>
      <c r="O429" s="7"/>
      <c r="Q429" s="7"/>
      <c r="S429" s="7"/>
      <c r="U429" s="7"/>
      <c r="W429" s="7"/>
    </row>
    <row r="430">
      <c r="E430" s="67"/>
      <c r="F430" s="7"/>
      <c r="G430" s="7"/>
      <c r="I430" s="7"/>
      <c r="K430" s="62"/>
      <c r="L430" s="7"/>
      <c r="M430" s="7"/>
      <c r="O430" s="7"/>
      <c r="Q430" s="7"/>
      <c r="S430" s="7"/>
      <c r="U430" s="7"/>
      <c r="W430" s="7"/>
    </row>
    <row r="431">
      <c r="E431" s="67"/>
      <c r="F431" s="7"/>
      <c r="G431" s="7"/>
      <c r="I431" s="7"/>
      <c r="K431" s="62"/>
      <c r="L431" s="7"/>
      <c r="M431" s="7"/>
      <c r="O431" s="7"/>
      <c r="Q431" s="7"/>
      <c r="S431" s="7"/>
      <c r="U431" s="7"/>
      <c r="W431" s="7"/>
    </row>
    <row r="432">
      <c r="E432" s="67"/>
      <c r="F432" s="7"/>
      <c r="G432" s="7"/>
      <c r="I432" s="7"/>
      <c r="K432" s="62"/>
      <c r="L432" s="7"/>
      <c r="M432" s="7"/>
      <c r="O432" s="7"/>
      <c r="Q432" s="7"/>
      <c r="S432" s="7"/>
      <c r="U432" s="7"/>
      <c r="W432" s="7"/>
    </row>
    <row r="433">
      <c r="E433" s="67"/>
      <c r="F433" s="7"/>
      <c r="G433" s="7"/>
      <c r="I433" s="7"/>
      <c r="K433" s="62"/>
      <c r="L433" s="7"/>
      <c r="M433" s="7"/>
      <c r="O433" s="7"/>
      <c r="Q433" s="7"/>
      <c r="S433" s="7"/>
      <c r="U433" s="7"/>
      <c r="W433" s="7"/>
    </row>
    <row r="434">
      <c r="E434" s="67"/>
      <c r="F434" s="7"/>
      <c r="G434" s="7"/>
      <c r="I434" s="7"/>
      <c r="K434" s="62"/>
      <c r="L434" s="7"/>
      <c r="M434" s="7"/>
      <c r="O434" s="7"/>
      <c r="Q434" s="7"/>
      <c r="S434" s="7"/>
      <c r="U434" s="7"/>
      <c r="W434" s="7"/>
    </row>
    <row r="435">
      <c r="E435" s="67"/>
      <c r="F435" s="7"/>
      <c r="G435" s="7"/>
      <c r="I435" s="7"/>
      <c r="K435" s="62"/>
      <c r="L435" s="7"/>
      <c r="M435" s="7"/>
      <c r="O435" s="7"/>
      <c r="Q435" s="7"/>
      <c r="S435" s="7"/>
      <c r="U435" s="7"/>
      <c r="W435" s="7"/>
    </row>
    <row r="436">
      <c r="E436" s="67"/>
      <c r="F436" s="7"/>
      <c r="G436" s="7"/>
      <c r="I436" s="7"/>
      <c r="K436" s="62"/>
      <c r="L436" s="7"/>
      <c r="M436" s="7"/>
      <c r="O436" s="7"/>
      <c r="Q436" s="7"/>
      <c r="S436" s="7"/>
      <c r="U436" s="7"/>
      <c r="W436" s="7"/>
    </row>
    <row r="437">
      <c r="E437" s="67"/>
      <c r="F437" s="7"/>
      <c r="G437" s="7"/>
      <c r="I437" s="7"/>
      <c r="K437" s="62"/>
      <c r="L437" s="7"/>
      <c r="M437" s="7"/>
      <c r="O437" s="7"/>
      <c r="Q437" s="7"/>
      <c r="S437" s="7"/>
      <c r="U437" s="7"/>
      <c r="W437" s="7"/>
    </row>
    <row r="438">
      <c r="E438" s="67"/>
      <c r="F438" s="7"/>
      <c r="G438" s="7"/>
      <c r="I438" s="7"/>
      <c r="K438" s="62"/>
      <c r="L438" s="7"/>
      <c r="M438" s="7"/>
      <c r="O438" s="7"/>
      <c r="Q438" s="7"/>
      <c r="S438" s="7"/>
      <c r="U438" s="7"/>
      <c r="W438" s="7"/>
    </row>
    <row r="439">
      <c r="E439" s="67"/>
      <c r="F439" s="7"/>
      <c r="G439" s="7"/>
      <c r="I439" s="7"/>
      <c r="K439" s="62"/>
      <c r="L439" s="7"/>
      <c r="M439" s="7"/>
      <c r="O439" s="7"/>
      <c r="Q439" s="7"/>
      <c r="S439" s="7"/>
      <c r="U439" s="7"/>
      <c r="W439" s="7"/>
    </row>
    <row r="440">
      <c r="E440" s="67"/>
      <c r="F440" s="7"/>
      <c r="G440" s="7"/>
      <c r="I440" s="7"/>
      <c r="K440" s="62"/>
      <c r="L440" s="7"/>
      <c r="M440" s="7"/>
      <c r="O440" s="7"/>
      <c r="Q440" s="7"/>
      <c r="S440" s="7"/>
      <c r="U440" s="7"/>
      <c r="W440" s="7"/>
    </row>
    <row r="441">
      <c r="E441" s="67"/>
      <c r="F441" s="7"/>
      <c r="G441" s="7"/>
      <c r="I441" s="7"/>
      <c r="K441" s="62"/>
      <c r="L441" s="7"/>
      <c r="M441" s="7"/>
      <c r="O441" s="7"/>
      <c r="Q441" s="7"/>
      <c r="S441" s="7"/>
      <c r="U441" s="7"/>
      <c r="W441" s="7"/>
    </row>
    <row r="442">
      <c r="E442" s="67"/>
      <c r="F442" s="7"/>
      <c r="G442" s="7"/>
      <c r="I442" s="7"/>
      <c r="K442" s="62"/>
      <c r="L442" s="7"/>
      <c r="M442" s="7"/>
      <c r="O442" s="7"/>
      <c r="Q442" s="7"/>
      <c r="S442" s="7"/>
      <c r="U442" s="7"/>
      <c r="W442" s="7"/>
    </row>
    <row r="443">
      <c r="E443" s="67"/>
      <c r="F443" s="7"/>
      <c r="G443" s="7"/>
      <c r="I443" s="7"/>
      <c r="K443" s="62"/>
      <c r="L443" s="7"/>
      <c r="M443" s="7"/>
      <c r="O443" s="7"/>
      <c r="Q443" s="7"/>
      <c r="S443" s="7"/>
      <c r="U443" s="7"/>
      <c r="W443" s="7"/>
    </row>
    <row r="444">
      <c r="E444" s="67"/>
      <c r="F444" s="7"/>
      <c r="G444" s="7"/>
      <c r="I444" s="7"/>
      <c r="K444" s="62"/>
      <c r="L444" s="7"/>
      <c r="M444" s="7"/>
      <c r="O444" s="7"/>
      <c r="Q444" s="7"/>
      <c r="S444" s="7"/>
      <c r="U444" s="7"/>
      <c r="W444" s="7"/>
    </row>
    <row r="445">
      <c r="E445" s="67"/>
      <c r="F445" s="7"/>
      <c r="G445" s="7"/>
      <c r="I445" s="7"/>
      <c r="K445" s="62"/>
      <c r="L445" s="7"/>
      <c r="M445" s="7"/>
      <c r="O445" s="7"/>
      <c r="Q445" s="7"/>
      <c r="S445" s="7"/>
      <c r="U445" s="7"/>
      <c r="W445" s="7"/>
    </row>
    <row r="446">
      <c r="E446" s="67"/>
      <c r="F446" s="7"/>
      <c r="G446" s="7"/>
      <c r="I446" s="7"/>
      <c r="K446" s="62"/>
      <c r="L446" s="7"/>
      <c r="M446" s="7"/>
      <c r="O446" s="7"/>
      <c r="Q446" s="7"/>
      <c r="S446" s="7"/>
      <c r="U446" s="7"/>
      <c r="W446" s="7"/>
    </row>
    <row r="447">
      <c r="E447" s="67"/>
      <c r="F447" s="7"/>
      <c r="G447" s="7"/>
      <c r="I447" s="7"/>
      <c r="K447" s="62"/>
      <c r="L447" s="7"/>
      <c r="M447" s="7"/>
      <c r="O447" s="7"/>
      <c r="Q447" s="7"/>
      <c r="S447" s="7"/>
      <c r="U447" s="7"/>
      <c r="W447" s="7"/>
    </row>
    <row r="448">
      <c r="E448" s="67"/>
      <c r="F448" s="7"/>
      <c r="G448" s="7"/>
      <c r="I448" s="7"/>
      <c r="K448" s="62"/>
      <c r="L448" s="7"/>
      <c r="M448" s="7"/>
      <c r="O448" s="7"/>
      <c r="Q448" s="7"/>
      <c r="S448" s="7"/>
      <c r="U448" s="7"/>
      <c r="W448" s="7"/>
    </row>
    <row r="449">
      <c r="E449" s="67"/>
      <c r="F449" s="7"/>
      <c r="G449" s="7"/>
      <c r="I449" s="7"/>
      <c r="K449" s="62"/>
      <c r="L449" s="7"/>
      <c r="M449" s="7"/>
      <c r="O449" s="7"/>
      <c r="Q449" s="7"/>
      <c r="S449" s="7"/>
      <c r="U449" s="7"/>
      <c r="W449" s="7"/>
    </row>
    <row r="450">
      <c r="E450" s="67"/>
      <c r="F450" s="7"/>
      <c r="G450" s="7"/>
      <c r="I450" s="7"/>
      <c r="K450" s="62"/>
      <c r="L450" s="7"/>
      <c r="M450" s="7"/>
      <c r="O450" s="7"/>
      <c r="Q450" s="7"/>
      <c r="S450" s="7"/>
      <c r="U450" s="7"/>
      <c r="W450" s="7"/>
    </row>
    <row r="451">
      <c r="E451" s="67"/>
      <c r="F451" s="7"/>
      <c r="G451" s="7"/>
      <c r="I451" s="7"/>
      <c r="K451" s="62"/>
      <c r="L451" s="7"/>
      <c r="M451" s="7"/>
      <c r="O451" s="7"/>
      <c r="Q451" s="7"/>
      <c r="S451" s="7"/>
      <c r="U451" s="7"/>
      <c r="W451" s="7"/>
    </row>
    <row r="452">
      <c r="E452" s="67"/>
      <c r="F452" s="7"/>
      <c r="G452" s="7"/>
      <c r="I452" s="7"/>
      <c r="K452" s="62"/>
      <c r="L452" s="7"/>
      <c r="M452" s="7"/>
      <c r="O452" s="7"/>
      <c r="Q452" s="7"/>
      <c r="S452" s="7"/>
      <c r="U452" s="7"/>
      <c r="W452" s="7"/>
    </row>
    <row r="453">
      <c r="E453" s="67"/>
      <c r="F453" s="7"/>
      <c r="G453" s="7"/>
      <c r="I453" s="7"/>
      <c r="K453" s="62"/>
      <c r="L453" s="7"/>
      <c r="M453" s="7"/>
      <c r="O453" s="7"/>
      <c r="Q453" s="7"/>
      <c r="S453" s="7"/>
      <c r="U453" s="7"/>
      <c r="W453" s="7"/>
    </row>
    <row r="454">
      <c r="E454" s="67"/>
      <c r="F454" s="7"/>
      <c r="G454" s="7"/>
      <c r="I454" s="7"/>
      <c r="K454" s="62"/>
      <c r="L454" s="7"/>
      <c r="M454" s="7"/>
      <c r="O454" s="7"/>
      <c r="Q454" s="7"/>
      <c r="S454" s="7"/>
      <c r="U454" s="7"/>
      <c r="W454" s="7"/>
    </row>
    <row r="455">
      <c r="E455" s="67"/>
      <c r="F455" s="7"/>
      <c r="G455" s="7"/>
      <c r="I455" s="7"/>
      <c r="K455" s="62"/>
      <c r="L455" s="7"/>
      <c r="M455" s="7"/>
      <c r="O455" s="7"/>
      <c r="Q455" s="7"/>
      <c r="S455" s="7"/>
      <c r="U455" s="7"/>
      <c r="W455" s="7"/>
    </row>
    <row r="456">
      <c r="E456" s="67"/>
      <c r="F456" s="7"/>
      <c r="G456" s="7"/>
      <c r="I456" s="7"/>
      <c r="K456" s="62"/>
      <c r="L456" s="7"/>
      <c r="M456" s="7"/>
      <c r="O456" s="7"/>
      <c r="Q456" s="7"/>
      <c r="S456" s="7"/>
      <c r="U456" s="7"/>
      <c r="W456" s="7"/>
    </row>
    <row r="457">
      <c r="E457" s="67"/>
      <c r="F457" s="7"/>
      <c r="G457" s="7"/>
      <c r="I457" s="7"/>
      <c r="K457" s="62"/>
      <c r="L457" s="7"/>
      <c r="M457" s="7"/>
      <c r="O457" s="7"/>
      <c r="Q457" s="7"/>
      <c r="S457" s="7"/>
      <c r="U457" s="7"/>
      <c r="W457" s="7"/>
    </row>
    <row r="458">
      <c r="E458" s="67"/>
      <c r="F458" s="7"/>
      <c r="G458" s="7"/>
      <c r="I458" s="7"/>
      <c r="K458" s="62"/>
      <c r="L458" s="7"/>
      <c r="M458" s="7"/>
      <c r="O458" s="7"/>
      <c r="Q458" s="7"/>
      <c r="S458" s="7"/>
      <c r="U458" s="7"/>
      <c r="W458" s="7"/>
    </row>
    <row r="459">
      <c r="E459" s="67"/>
      <c r="F459" s="7"/>
      <c r="G459" s="7"/>
      <c r="I459" s="7"/>
      <c r="K459" s="62"/>
      <c r="L459" s="7"/>
      <c r="M459" s="7"/>
      <c r="O459" s="7"/>
      <c r="Q459" s="7"/>
      <c r="S459" s="7"/>
      <c r="U459" s="7"/>
      <c r="W459" s="7"/>
    </row>
    <row r="460">
      <c r="E460" s="67"/>
      <c r="F460" s="7"/>
      <c r="G460" s="7"/>
      <c r="I460" s="7"/>
      <c r="K460" s="62"/>
      <c r="L460" s="7"/>
      <c r="M460" s="7"/>
      <c r="O460" s="7"/>
      <c r="Q460" s="7"/>
      <c r="S460" s="7"/>
      <c r="U460" s="7"/>
      <c r="W460" s="7"/>
    </row>
    <row r="461">
      <c r="E461" s="67"/>
      <c r="F461" s="7"/>
      <c r="G461" s="7"/>
      <c r="I461" s="7"/>
      <c r="K461" s="62"/>
      <c r="L461" s="7"/>
      <c r="M461" s="7"/>
      <c r="O461" s="7"/>
      <c r="Q461" s="7"/>
      <c r="S461" s="7"/>
      <c r="U461" s="7"/>
      <c r="W461" s="7"/>
    </row>
    <row r="462">
      <c r="E462" s="67"/>
      <c r="F462" s="7"/>
      <c r="G462" s="7"/>
      <c r="I462" s="7"/>
      <c r="K462" s="62"/>
      <c r="L462" s="7"/>
      <c r="M462" s="7"/>
      <c r="O462" s="7"/>
      <c r="Q462" s="7"/>
      <c r="S462" s="7"/>
      <c r="U462" s="7"/>
      <c r="W462" s="7"/>
    </row>
    <row r="463">
      <c r="E463" s="67"/>
      <c r="F463" s="7"/>
      <c r="G463" s="7"/>
      <c r="I463" s="7"/>
      <c r="K463" s="62"/>
      <c r="L463" s="7"/>
      <c r="M463" s="7"/>
      <c r="O463" s="7"/>
      <c r="Q463" s="7"/>
      <c r="S463" s="7"/>
      <c r="U463" s="7"/>
      <c r="W463" s="7"/>
    </row>
    <row r="464">
      <c r="E464" s="67"/>
      <c r="F464" s="7"/>
      <c r="G464" s="7"/>
      <c r="I464" s="7"/>
      <c r="K464" s="62"/>
      <c r="L464" s="7"/>
      <c r="M464" s="7"/>
      <c r="O464" s="7"/>
      <c r="Q464" s="7"/>
      <c r="S464" s="7"/>
      <c r="U464" s="7"/>
      <c r="W464" s="7"/>
    </row>
    <row r="465">
      <c r="E465" s="67"/>
      <c r="F465" s="7"/>
      <c r="G465" s="7"/>
      <c r="I465" s="7"/>
      <c r="K465" s="62"/>
      <c r="L465" s="7"/>
      <c r="M465" s="7"/>
      <c r="O465" s="7"/>
      <c r="Q465" s="7"/>
      <c r="S465" s="7"/>
      <c r="U465" s="7"/>
      <c r="W465" s="7"/>
    </row>
    <row r="466">
      <c r="E466" s="67"/>
      <c r="F466" s="7"/>
      <c r="G466" s="7"/>
      <c r="I466" s="7"/>
      <c r="K466" s="62"/>
      <c r="L466" s="7"/>
      <c r="M466" s="7"/>
      <c r="O466" s="7"/>
      <c r="Q466" s="7"/>
      <c r="S466" s="7"/>
      <c r="U466" s="7"/>
      <c r="W466" s="7"/>
    </row>
    <row r="467">
      <c r="E467" s="67"/>
      <c r="F467" s="7"/>
      <c r="G467" s="7"/>
      <c r="I467" s="7"/>
      <c r="K467" s="62"/>
      <c r="L467" s="7"/>
      <c r="M467" s="7"/>
      <c r="O467" s="7"/>
      <c r="Q467" s="7"/>
      <c r="S467" s="7"/>
      <c r="U467" s="7"/>
      <c r="W467" s="7"/>
    </row>
    <row r="468">
      <c r="E468" s="67"/>
      <c r="F468" s="7"/>
      <c r="G468" s="7"/>
      <c r="I468" s="7"/>
      <c r="K468" s="62"/>
      <c r="L468" s="7"/>
      <c r="M468" s="7"/>
      <c r="O468" s="7"/>
      <c r="Q468" s="7"/>
      <c r="S468" s="7"/>
      <c r="U468" s="7"/>
      <c r="W468" s="7"/>
    </row>
    <row r="469">
      <c r="E469" s="67"/>
      <c r="F469" s="7"/>
      <c r="G469" s="7"/>
      <c r="I469" s="7"/>
      <c r="K469" s="62"/>
      <c r="L469" s="7"/>
      <c r="M469" s="7"/>
      <c r="O469" s="7"/>
      <c r="Q469" s="7"/>
      <c r="S469" s="7"/>
      <c r="U469" s="7"/>
      <c r="W469" s="7"/>
    </row>
    <row r="470">
      <c r="E470" s="67"/>
      <c r="F470" s="7"/>
      <c r="G470" s="7"/>
      <c r="I470" s="7"/>
      <c r="K470" s="62"/>
      <c r="L470" s="7"/>
      <c r="M470" s="7"/>
      <c r="O470" s="7"/>
      <c r="Q470" s="7"/>
      <c r="S470" s="7"/>
      <c r="U470" s="7"/>
      <c r="W470" s="7"/>
    </row>
    <row r="471">
      <c r="E471" s="67"/>
      <c r="F471" s="7"/>
      <c r="G471" s="7"/>
      <c r="I471" s="7"/>
      <c r="K471" s="62"/>
      <c r="L471" s="7"/>
      <c r="M471" s="7"/>
      <c r="O471" s="7"/>
      <c r="Q471" s="7"/>
      <c r="S471" s="7"/>
      <c r="U471" s="7"/>
      <c r="W471" s="7"/>
    </row>
    <row r="472">
      <c r="E472" s="67"/>
      <c r="F472" s="7"/>
      <c r="G472" s="7"/>
      <c r="I472" s="7"/>
      <c r="K472" s="62"/>
      <c r="L472" s="7"/>
      <c r="M472" s="7"/>
      <c r="O472" s="7"/>
      <c r="Q472" s="7"/>
      <c r="S472" s="7"/>
      <c r="U472" s="7"/>
      <c r="W472" s="7"/>
    </row>
    <row r="473">
      <c r="E473" s="67"/>
      <c r="F473" s="7"/>
      <c r="G473" s="7"/>
      <c r="I473" s="7"/>
      <c r="K473" s="62"/>
      <c r="L473" s="7"/>
      <c r="M473" s="7"/>
      <c r="O473" s="7"/>
      <c r="Q473" s="7"/>
      <c r="S473" s="7"/>
      <c r="U473" s="7"/>
      <c r="W473" s="7"/>
    </row>
    <row r="474">
      <c r="E474" s="67"/>
      <c r="F474" s="7"/>
      <c r="G474" s="7"/>
      <c r="I474" s="7"/>
      <c r="K474" s="62"/>
      <c r="L474" s="7"/>
      <c r="M474" s="7"/>
      <c r="O474" s="7"/>
      <c r="Q474" s="7"/>
      <c r="S474" s="7"/>
      <c r="U474" s="7"/>
      <c r="W474" s="7"/>
    </row>
    <row r="475">
      <c r="E475" s="67"/>
      <c r="F475" s="7"/>
      <c r="G475" s="7"/>
      <c r="I475" s="7"/>
      <c r="K475" s="62"/>
      <c r="L475" s="7"/>
      <c r="M475" s="7"/>
      <c r="O475" s="7"/>
      <c r="Q475" s="7"/>
      <c r="S475" s="7"/>
      <c r="U475" s="7"/>
      <c r="W475" s="7"/>
    </row>
    <row r="476">
      <c r="E476" s="67"/>
      <c r="F476" s="7"/>
      <c r="G476" s="7"/>
      <c r="I476" s="7"/>
      <c r="K476" s="62"/>
      <c r="L476" s="7"/>
      <c r="M476" s="7"/>
      <c r="O476" s="7"/>
      <c r="Q476" s="7"/>
      <c r="S476" s="7"/>
      <c r="U476" s="7"/>
      <c r="W476" s="7"/>
    </row>
    <row r="477">
      <c r="E477" s="67"/>
      <c r="F477" s="7"/>
      <c r="G477" s="7"/>
      <c r="I477" s="7"/>
      <c r="K477" s="62"/>
      <c r="L477" s="7"/>
      <c r="M477" s="7"/>
      <c r="O477" s="7"/>
      <c r="Q477" s="7"/>
      <c r="S477" s="7"/>
      <c r="U477" s="7"/>
      <c r="W477" s="7"/>
    </row>
    <row r="478">
      <c r="E478" s="67"/>
      <c r="F478" s="7"/>
      <c r="G478" s="7"/>
      <c r="I478" s="7"/>
      <c r="K478" s="62"/>
      <c r="L478" s="7"/>
      <c r="M478" s="7"/>
      <c r="O478" s="7"/>
      <c r="Q478" s="7"/>
      <c r="S478" s="7"/>
      <c r="U478" s="7"/>
      <c r="W478" s="7"/>
    </row>
    <row r="479">
      <c r="E479" s="67"/>
      <c r="F479" s="7"/>
      <c r="G479" s="7"/>
      <c r="I479" s="7"/>
      <c r="K479" s="62"/>
      <c r="L479" s="7"/>
      <c r="M479" s="7"/>
      <c r="O479" s="7"/>
      <c r="Q479" s="7"/>
      <c r="S479" s="7"/>
      <c r="U479" s="7"/>
      <c r="W479" s="7"/>
    </row>
    <row r="480">
      <c r="E480" s="67"/>
      <c r="F480" s="7"/>
      <c r="G480" s="7"/>
      <c r="I480" s="7"/>
      <c r="K480" s="62"/>
      <c r="L480" s="7"/>
      <c r="M480" s="7"/>
      <c r="O480" s="7"/>
      <c r="Q480" s="7"/>
      <c r="S480" s="7"/>
      <c r="U480" s="7"/>
      <c r="W480" s="7"/>
    </row>
    <row r="481">
      <c r="E481" s="67"/>
      <c r="F481" s="7"/>
      <c r="G481" s="7"/>
      <c r="I481" s="7"/>
      <c r="K481" s="62"/>
      <c r="L481" s="7"/>
      <c r="M481" s="7"/>
      <c r="O481" s="7"/>
      <c r="Q481" s="7"/>
      <c r="S481" s="7"/>
      <c r="U481" s="7"/>
      <c r="W481" s="7"/>
    </row>
    <row r="482">
      <c r="E482" s="67"/>
      <c r="F482" s="7"/>
      <c r="G482" s="7"/>
      <c r="I482" s="7"/>
      <c r="K482" s="62"/>
      <c r="L482" s="7"/>
      <c r="M482" s="7"/>
      <c r="O482" s="7"/>
      <c r="Q482" s="7"/>
      <c r="S482" s="7"/>
      <c r="U482" s="7"/>
      <c r="W482" s="7"/>
    </row>
    <row r="483">
      <c r="E483" s="67"/>
      <c r="F483" s="7"/>
      <c r="G483" s="7"/>
      <c r="I483" s="7"/>
      <c r="K483" s="62"/>
      <c r="L483" s="7"/>
      <c r="M483" s="7"/>
      <c r="O483" s="7"/>
      <c r="Q483" s="7"/>
      <c r="S483" s="7"/>
      <c r="U483" s="7"/>
      <c r="W483" s="7"/>
    </row>
    <row r="484">
      <c r="E484" s="67"/>
      <c r="F484" s="7"/>
      <c r="G484" s="7"/>
      <c r="I484" s="7"/>
      <c r="K484" s="62"/>
      <c r="L484" s="7"/>
      <c r="M484" s="7"/>
      <c r="O484" s="7"/>
      <c r="Q484" s="7"/>
      <c r="S484" s="7"/>
      <c r="U484" s="7"/>
      <c r="W484" s="7"/>
    </row>
    <row r="485">
      <c r="E485" s="67"/>
      <c r="F485" s="7"/>
      <c r="G485" s="7"/>
      <c r="I485" s="7"/>
      <c r="K485" s="62"/>
      <c r="L485" s="7"/>
      <c r="M485" s="7"/>
      <c r="O485" s="7"/>
      <c r="Q485" s="7"/>
      <c r="S485" s="7"/>
      <c r="U485" s="7"/>
      <c r="W485" s="7"/>
    </row>
    <row r="486">
      <c r="E486" s="67"/>
      <c r="F486" s="7"/>
      <c r="G486" s="7"/>
      <c r="I486" s="7"/>
      <c r="K486" s="62"/>
      <c r="L486" s="7"/>
      <c r="M486" s="7"/>
      <c r="O486" s="7"/>
      <c r="Q486" s="7"/>
      <c r="S486" s="7"/>
      <c r="U486" s="7"/>
      <c r="W486" s="7"/>
    </row>
    <row r="487">
      <c r="E487" s="67"/>
      <c r="F487" s="7"/>
      <c r="G487" s="7"/>
      <c r="I487" s="7"/>
      <c r="K487" s="62"/>
      <c r="L487" s="7"/>
      <c r="M487" s="7"/>
      <c r="O487" s="7"/>
      <c r="Q487" s="7"/>
      <c r="S487" s="7"/>
      <c r="U487" s="7"/>
      <c r="W487" s="7"/>
    </row>
    <row r="488">
      <c r="E488" s="67"/>
      <c r="F488" s="7"/>
      <c r="G488" s="7"/>
      <c r="I488" s="7"/>
      <c r="K488" s="62"/>
      <c r="L488" s="7"/>
      <c r="M488" s="7"/>
      <c r="O488" s="7"/>
      <c r="Q488" s="7"/>
      <c r="S488" s="7"/>
      <c r="U488" s="7"/>
      <c r="W488" s="7"/>
    </row>
    <row r="489">
      <c r="E489" s="67"/>
      <c r="F489" s="7"/>
      <c r="G489" s="7"/>
      <c r="I489" s="7"/>
      <c r="K489" s="62"/>
      <c r="L489" s="7"/>
      <c r="M489" s="7"/>
      <c r="O489" s="7"/>
      <c r="Q489" s="7"/>
      <c r="S489" s="7"/>
      <c r="U489" s="7"/>
      <c r="W489" s="7"/>
    </row>
    <row r="490">
      <c r="E490" s="67"/>
      <c r="F490" s="7"/>
      <c r="G490" s="7"/>
      <c r="I490" s="7"/>
      <c r="K490" s="62"/>
      <c r="L490" s="7"/>
      <c r="M490" s="7"/>
      <c r="O490" s="7"/>
      <c r="Q490" s="7"/>
      <c r="S490" s="7"/>
      <c r="U490" s="7"/>
      <c r="W490" s="7"/>
    </row>
    <row r="491">
      <c r="E491" s="67"/>
      <c r="F491" s="7"/>
      <c r="G491" s="7"/>
      <c r="I491" s="7"/>
      <c r="K491" s="62"/>
      <c r="L491" s="7"/>
      <c r="M491" s="7"/>
      <c r="O491" s="7"/>
      <c r="Q491" s="7"/>
      <c r="S491" s="7"/>
      <c r="U491" s="7"/>
      <c r="W491" s="7"/>
    </row>
    <row r="492">
      <c r="E492" s="67"/>
      <c r="F492" s="7"/>
      <c r="G492" s="7"/>
      <c r="I492" s="7"/>
      <c r="K492" s="62"/>
      <c r="L492" s="7"/>
      <c r="M492" s="7"/>
      <c r="O492" s="7"/>
      <c r="Q492" s="7"/>
      <c r="S492" s="7"/>
      <c r="U492" s="7"/>
      <c r="W492" s="7"/>
    </row>
    <row r="493">
      <c r="E493" s="67"/>
      <c r="F493" s="7"/>
      <c r="G493" s="7"/>
      <c r="I493" s="7"/>
      <c r="K493" s="62"/>
      <c r="L493" s="7"/>
      <c r="M493" s="7"/>
      <c r="O493" s="7"/>
      <c r="Q493" s="7"/>
      <c r="S493" s="7"/>
      <c r="U493" s="7"/>
      <c r="W493" s="7"/>
    </row>
    <row r="494">
      <c r="E494" s="67"/>
      <c r="F494" s="7"/>
      <c r="G494" s="7"/>
      <c r="I494" s="7"/>
      <c r="K494" s="62"/>
      <c r="L494" s="7"/>
      <c r="M494" s="7"/>
      <c r="O494" s="7"/>
      <c r="Q494" s="7"/>
      <c r="S494" s="7"/>
      <c r="U494" s="7"/>
      <c r="W494" s="7"/>
    </row>
    <row r="495">
      <c r="E495" s="67"/>
      <c r="F495" s="7"/>
      <c r="G495" s="7"/>
      <c r="I495" s="7"/>
      <c r="K495" s="62"/>
      <c r="L495" s="7"/>
      <c r="M495" s="7"/>
      <c r="O495" s="7"/>
      <c r="Q495" s="7"/>
      <c r="S495" s="7"/>
      <c r="U495" s="7"/>
      <c r="W495" s="7"/>
    </row>
    <row r="496">
      <c r="E496" s="67"/>
      <c r="F496" s="7"/>
      <c r="G496" s="7"/>
      <c r="I496" s="7"/>
      <c r="K496" s="62"/>
      <c r="L496" s="7"/>
      <c r="M496" s="7"/>
      <c r="O496" s="7"/>
      <c r="Q496" s="7"/>
      <c r="S496" s="7"/>
      <c r="U496" s="7"/>
      <c r="W496" s="7"/>
    </row>
    <row r="497">
      <c r="E497" s="67"/>
      <c r="F497" s="7"/>
      <c r="G497" s="7"/>
      <c r="I497" s="7"/>
      <c r="K497" s="62"/>
      <c r="L497" s="7"/>
      <c r="M497" s="7"/>
      <c r="O497" s="7"/>
      <c r="Q497" s="7"/>
      <c r="S497" s="7"/>
      <c r="U497" s="7"/>
      <c r="W497" s="7"/>
    </row>
    <row r="498">
      <c r="E498" s="67"/>
      <c r="F498" s="7"/>
      <c r="G498" s="7"/>
      <c r="I498" s="7"/>
      <c r="K498" s="62"/>
      <c r="L498" s="7"/>
      <c r="M498" s="7"/>
      <c r="O498" s="7"/>
      <c r="Q498" s="7"/>
      <c r="S498" s="7"/>
      <c r="U498" s="7"/>
      <c r="W498" s="7"/>
    </row>
    <row r="499">
      <c r="E499" s="67"/>
      <c r="F499" s="7"/>
      <c r="G499" s="7"/>
      <c r="I499" s="7"/>
      <c r="K499" s="62"/>
      <c r="L499" s="7"/>
      <c r="M499" s="7"/>
      <c r="O499" s="7"/>
      <c r="Q499" s="7"/>
      <c r="S499" s="7"/>
      <c r="U499" s="7"/>
      <c r="W499" s="7"/>
    </row>
    <row r="500">
      <c r="E500" s="67"/>
      <c r="F500" s="7"/>
      <c r="G500" s="7"/>
      <c r="I500" s="7"/>
      <c r="K500" s="62"/>
      <c r="L500" s="7"/>
      <c r="M500" s="7"/>
      <c r="O500" s="7"/>
      <c r="Q500" s="7"/>
      <c r="S500" s="7"/>
      <c r="U500" s="7"/>
      <c r="W500" s="7"/>
    </row>
    <row r="501">
      <c r="E501" s="67"/>
      <c r="F501" s="7"/>
      <c r="G501" s="7"/>
      <c r="I501" s="7"/>
      <c r="K501" s="62"/>
      <c r="L501" s="7"/>
      <c r="M501" s="7"/>
      <c r="O501" s="7"/>
      <c r="Q501" s="7"/>
      <c r="S501" s="7"/>
      <c r="U501" s="7"/>
      <c r="W501" s="7"/>
    </row>
    <row r="502">
      <c r="E502" s="67"/>
      <c r="F502" s="7"/>
      <c r="G502" s="7"/>
      <c r="I502" s="7"/>
      <c r="K502" s="62"/>
      <c r="L502" s="7"/>
      <c r="M502" s="7"/>
      <c r="O502" s="7"/>
      <c r="Q502" s="7"/>
      <c r="S502" s="7"/>
      <c r="U502" s="7"/>
      <c r="W502" s="7"/>
    </row>
    <row r="503">
      <c r="E503" s="67"/>
      <c r="F503" s="7"/>
      <c r="G503" s="7"/>
      <c r="I503" s="7"/>
      <c r="K503" s="62"/>
      <c r="L503" s="7"/>
      <c r="M503" s="7"/>
      <c r="O503" s="7"/>
      <c r="Q503" s="7"/>
      <c r="S503" s="7"/>
      <c r="U503" s="7"/>
      <c r="W503" s="7"/>
    </row>
    <row r="504">
      <c r="E504" s="67"/>
      <c r="F504" s="7"/>
      <c r="G504" s="7"/>
      <c r="I504" s="7"/>
      <c r="K504" s="62"/>
      <c r="L504" s="7"/>
      <c r="M504" s="7"/>
      <c r="O504" s="7"/>
      <c r="Q504" s="7"/>
      <c r="S504" s="7"/>
      <c r="U504" s="7"/>
      <c r="W504" s="7"/>
    </row>
    <row r="505">
      <c r="E505" s="67"/>
      <c r="F505" s="7"/>
      <c r="G505" s="7"/>
      <c r="I505" s="7"/>
      <c r="K505" s="62"/>
      <c r="L505" s="7"/>
      <c r="M505" s="7"/>
      <c r="O505" s="7"/>
      <c r="Q505" s="7"/>
      <c r="S505" s="7"/>
      <c r="U505" s="7"/>
      <c r="W505" s="7"/>
    </row>
    <row r="506">
      <c r="E506" s="67"/>
      <c r="F506" s="7"/>
      <c r="G506" s="7"/>
      <c r="I506" s="7"/>
      <c r="K506" s="62"/>
      <c r="L506" s="7"/>
      <c r="M506" s="7"/>
      <c r="O506" s="7"/>
      <c r="Q506" s="7"/>
      <c r="S506" s="7"/>
      <c r="U506" s="7"/>
      <c r="W506" s="7"/>
    </row>
    <row r="507">
      <c r="E507" s="67"/>
      <c r="F507" s="7"/>
      <c r="G507" s="7"/>
      <c r="I507" s="7"/>
      <c r="K507" s="62"/>
      <c r="L507" s="7"/>
      <c r="M507" s="7"/>
      <c r="O507" s="7"/>
      <c r="Q507" s="7"/>
      <c r="S507" s="7"/>
      <c r="U507" s="7"/>
      <c r="W507" s="7"/>
    </row>
    <row r="508">
      <c r="E508" s="67"/>
      <c r="F508" s="7"/>
      <c r="G508" s="7"/>
      <c r="I508" s="7"/>
      <c r="K508" s="62"/>
      <c r="L508" s="7"/>
      <c r="M508" s="7"/>
      <c r="O508" s="7"/>
      <c r="Q508" s="7"/>
      <c r="S508" s="7"/>
      <c r="U508" s="7"/>
      <c r="W508" s="7"/>
    </row>
    <row r="509">
      <c r="E509" s="67"/>
      <c r="F509" s="7"/>
      <c r="G509" s="7"/>
      <c r="I509" s="7"/>
      <c r="K509" s="62"/>
      <c r="L509" s="7"/>
      <c r="M509" s="7"/>
      <c r="O509" s="7"/>
      <c r="Q509" s="7"/>
      <c r="S509" s="7"/>
      <c r="U509" s="7"/>
      <c r="W509" s="7"/>
    </row>
    <row r="510">
      <c r="E510" s="67"/>
      <c r="F510" s="7"/>
      <c r="G510" s="7"/>
      <c r="I510" s="7"/>
      <c r="K510" s="62"/>
      <c r="L510" s="7"/>
      <c r="M510" s="7"/>
      <c r="O510" s="7"/>
      <c r="Q510" s="7"/>
      <c r="S510" s="7"/>
      <c r="U510" s="7"/>
      <c r="W510" s="7"/>
    </row>
    <row r="511">
      <c r="E511" s="67"/>
      <c r="F511" s="7"/>
      <c r="G511" s="7"/>
      <c r="I511" s="7"/>
      <c r="K511" s="62"/>
      <c r="L511" s="7"/>
      <c r="M511" s="7"/>
      <c r="O511" s="7"/>
      <c r="Q511" s="7"/>
      <c r="S511" s="7"/>
      <c r="U511" s="7"/>
      <c r="W511" s="7"/>
    </row>
    <row r="512">
      <c r="E512" s="67"/>
      <c r="F512" s="7"/>
      <c r="G512" s="7"/>
      <c r="I512" s="7"/>
      <c r="K512" s="62"/>
      <c r="L512" s="7"/>
      <c r="M512" s="7"/>
      <c r="O512" s="7"/>
      <c r="Q512" s="7"/>
      <c r="S512" s="7"/>
      <c r="U512" s="7"/>
      <c r="W512" s="7"/>
    </row>
    <row r="513">
      <c r="E513" s="67"/>
      <c r="F513" s="7"/>
      <c r="G513" s="7"/>
      <c r="I513" s="7"/>
      <c r="K513" s="62"/>
      <c r="L513" s="7"/>
      <c r="M513" s="7"/>
      <c r="O513" s="7"/>
      <c r="Q513" s="7"/>
      <c r="S513" s="7"/>
      <c r="U513" s="7"/>
      <c r="W513" s="7"/>
    </row>
    <row r="514">
      <c r="E514" s="67"/>
      <c r="F514" s="7"/>
      <c r="G514" s="7"/>
      <c r="I514" s="7"/>
      <c r="K514" s="62"/>
      <c r="L514" s="7"/>
      <c r="M514" s="7"/>
      <c r="O514" s="7"/>
      <c r="Q514" s="7"/>
      <c r="S514" s="7"/>
      <c r="U514" s="7"/>
      <c r="W514" s="7"/>
    </row>
    <row r="515">
      <c r="E515" s="67"/>
      <c r="F515" s="7"/>
      <c r="G515" s="7"/>
      <c r="I515" s="7"/>
      <c r="K515" s="62"/>
      <c r="L515" s="7"/>
      <c r="M515" s="7"/>
      <c r="O515" s="7"/>
      <c r="Q515" s="7"/>
      <c r="S515" s="7"/>
      <c r="U515" s="7"/>
      <c r="W515" s="7"/>
    </row>
    <row r="516">
      <c r="E516" s="67"/>
      <c r="F516" s="7"/>
      <c r="G516" s="7"/>
      <c r="I516" s="7"/>
      <c r="K516" s="62"/>
      <c r="L516" s="7"/>
      <c r="M516" s="7"/>
      <c r="O516" s="7"/>
      <c r="Q516" s="7"/>
      <c r="S516" s="7"/>
      <c r="U516" s="7"/>
      <c r="W516" s="7"/>
    </row>
    <row r="517">
      <c r="E517" s="67"/>
      <c r="F517" s="7"/>
      <c r="G517" s="7"/>
      <c r="I517" s="7"/>
      <c r="K517" s="62"/>
      <c r="L517" s="7"/>
      <c r="M517" s="7"/>
      <c r="O517" s="7"/>
      <c r="Q517" s="7"/>
      <c r="S517" s="7"/>
      <c r="U517" s="7"/>
      <c r="W517" s="7"/>
    </row>
    <row r="518">
      <c r="E518" s="67"/>
      <c r="F518" s="7"/>
      <c r="G518" s="7"/>
      <c r="I518" s="7"/>
      <c r="K518" s="62"/>
      <c r="L518" s="7"/>
      <c r="M518" s="7"/>
      <c r="O518" s="7"/>
      <c r="Q518" s="7"/>
      <c r="S518" s="7"/>
      <c r="U518" s="7"/>
      <c r="W518" s="7"/>
    </row>
    <row r="519">
      <c r="E519" s="67"/>
      <c r="F519" s="7"/>
      <c r="G519" s="7"/>
      <c r="I519" s="7"/>
      <c r="K519" s="62"/>
      <c r="L519" s="7"/>
      <c r="M519" s="7"/>
      <c r="O519" s="7"/>
      <c r="Q519" s="7"/>
      <c r="S519" s="7"/>
      <c r="U519" s="7"/>
      <c r="W519" s="7"/>
    </row>
    <row r="520">
      <c r="E520" s="67"/>
      <c r="F520" s="7"/>
      <c r="G520" s="7"/>
      <c r="I520" s="7"/>
      <c r="K520" s="62"/>
      <c r="L520" s="7"/>
      <c r="M520" s="7"/>
      <c r="O520" s="7"/>
      <c r="Q520" s="7"/>
      <c r="S520" s="7"/>
      <c r="U520" s="7"/>
      <c r="W520" s="7"/>
    </row>
    <row r="521">
      <c r="E521" s="67"/>
      <c r="F521" s="7"/>
      <c r="G521" s="7"/>
      <c r="I521" s="7"/>
      <c r="K521" s="62"/>
      <c r="L521" s="7"/>
      <c r="M521" s="7"/>
      <c r="O521" s="7"/>
      <c r="Q521" s="7"/>
      <c r="S521" s="7"/>
      <c r="U521" s="7"/>
      <c r="W521" s="7"/>
    </row>
    <row r="522">
      <c r="E522" s="67"/>
      <c r="F522" s="7"/>
      <c r="G522" s="7"/>
      <c r="I522" s="7"/>
      <c r="K522" s="62"/>
      <c r="L522" s="7"/>
      <c r="M522" s="7"/>
      <c r="O522" s="7"/>
      <c r="Q522" s="7"/>
      <c r="S522" s="7"/>
      <c r="U522" s="7"/>
      <c r="W522" s="7"/>
    </row>
    <row r="523">
      <c r="E523" s="67"/>
      <c r="F523" s="7"/>
      <c r="G523" s="7"/>
      <c r="I523" s="7"/>
      <c r="K523" s="62"/>
      <c r="L523" s="7"/>
      <c r="M523" s="7"/>
      <c r="O523" s="7"/>
      <c r="Q523" s="7"/>
      <c r="S523" s="7"/>
      <c r="U523" s="7"/>
      <c r="W523" s="7"/>
    </row>
    <row r="524">
      <c r="E524" s="67"/>
      <c r="F524" s="7"/>
      <c r="G524" s="7"/>
      <c r="I524" s="7"/>
      <c r="K524" s="62"/>
      <c r="L524" s="7"/>
      <c r="M524" s="7"/>
      <c r="O524" s="7"/>
      <c r="Q524" s="7"/>
      <c r="S524" s="7"/>
      <c r="U524" s="7"/>
      <c r="W524" s="7"/>
    </row>
    <row r="525">
      <c r="E525" s="67"/>
      <c r="F525" s="7"/>
      <c r="G525" s="7"/>
      <c r="I525" s="7"/>
      <c r="K525" s="62"/>
      <c r="L525" s="7"/>
      <c r="M525" s="7"/>
      <c r="O525" s="7"/>
      <c r="Q525" s="7"/>
      <c r="S525" s="7"/>
      <c r="U525" s="7"/>
      <c r="W525" s="7"/>
    </row>
    <row r="526">
      <c r="E526" s="67"/>
      <c r="F526" s="7"/>
      <c r="G526" s="7"/>
      <c r="I526" s="7"/>
      <c r="K526" s="62"/>
      <c r="L526" s="7"/>
      <c r="M526" s="7"/>
      <c r="O526" s="7"/>
      <c r="Q526" s="7"/>
      <c r="S526" s="7"/>
      <c r="U526" s="7"/>
      <c r="W526" s="7"/>
    </row>
    <row r="527">
      <c r="E527" s="67"/>
      <c r="F527" s="7"/>
      <c r="G527" s="7"/>
      <c r="I527" s="7"/>
      <c r="K527" s="62"/>
      <c r="L527" s="7"/>
      <c r="M527" s="7"/>
      <c r="O527" s="7"/>
      <c r="Q527" s="7"/>
      <c r="S527" s="7"/>
      <c r="U527" s="7"/>
      <c r="W527" s="7"/>
    </row>
    <row r="528">
      <c r="E528" s="67"/>
      <c r="F528" s="7"/>
      <c r="G528" s="7"/>
      <c r="I528" s="7"/>
      <c r="K528" s="62"/>
      <c r="L528" s="7"/>
      <c r="M528" s="7"/>
      <c r="O528" s="7"/>
      <c r="Q528" s="7"/>
      <c r="S528" s="7"/>
      <c r="U528" s="7"/>
      <c r="W528" s="7"/>
    </row>
    <row r="529">
      <c r="E529" s="67"/>
      <c r="F529" s="7"/>
      <c r="G529" s="7"/>
      <c r="I529" s="7"/>
      <c r="K529" s="62"/>
      <c r="L529" s="7"/>
      <c r="M529" s="7"/>
      <c r="O529" s="7"/>
      <c r="Q529" s="7"/>
      <c r="S529" s="7"/>
      <c r="U529" s="7"/>
      <c r="W529" s="7"/>
    </row>
    <row r="530">
      <c r="E530" s="67"/>
      <c r="F530" s="7"/>
      <c r="G530" s="7"/>
      <c r="I530" s="7"/>
      <c r="K530" s="62"/>
      <c r="L530" s="7"/>
      <c r="M530" s="7"/>
      <c r="O530" s="7"/>
      <c r="Q530" s="7"/>
      <c r="S530" s="7"/>
      <c r="U530" s="7"/>
      <c r="W530" s="7"/>
    </row>
    <row r="531">
      <c r="E531" s="67"/>
      <c r="F531" s="7"/>
      <c r="G531" s="7"/>
      <c r="I531" s="7"/>
      <c r="K531" s="62"/>
      <c r="L531" s="7"/>
      <c r="M531" s="7"/>
      <c r="O531" s="7"/>
      <c r="Q531" s="7"/>
      <c r="S531" s="7"/>
      <c r="U531" s="7"/>
      <c r="W531" s="7"/>
    </row>
    <row r="532">
      <c r="E532" s="67"/>
      <c r="F532" s="7"/>
      <c r="G532" s="7"/>
      <c r="I532" s="7"/>
      <c r="K532" s="62"/>
      <c r="L532" s="7"/>
      <c r="M532" s="7"/>
      <c r="O532" s="7"/>
      <c r="Q532" s="7"/>
      <c r="S532" s="7"/>
      <c r="U532" s="7"/>
      <c r="W532" s="7"/>
    </row>
    <row r="533">
      <c r="E533" s="67"/>
      <c r="F533" s="7"/>
      <c r="G533" s="7"/>
      <c r="I533" s="7"/>
      <c r="K533" s="62"/>
      <c r="L533" s="7"/>
      <c r="M533" s="7"/>
      <c r="O533" s="7"/>
      <c r="Q533" s="7"/>
      <c r="S533" s="7"/>
      <c r="U533" s="7"/>
      <c r="W533" s="7"/>
    </row>
    <row r="534">
      <c r="E534" s="67"/>
      <c r="F534" s="7"/>
      <c r="G534" s="7"/>
      <c r="I534" s="7"/>
      <c r="K534" s="62"/>
      <c r="L534" s="7"/>
      <c r="M534" s="7"/>
      <c r="O534" s="7"/>
      <c r="Q534" s="7"/>
      <c r="S534" s="7"/>
      <c r="U534" s="7"/>
      <c r="W534" s="7"/>
    </row>
    <row r="535">
      <c r="E535" s="67"/>
      <c r="F535" s="7"/>
      <c r="G535" s="7"/>
      <c r="I535" s="7"/>
      <c r="K535" s="62"/>
      <c r="L535" s="7"/>
      <c r="M535" s="7"/>
      <c r="O535" s="7"/>
      <c r="Q535" s="7"/>
      <c r="S535" s="7"/>
      <c r="U535" s="7"/>
      <c r="W535" s="7"/>
    </row>
    <row r="536">
      <c r="E536" s="67"/>
      <c r="F536" s="7"/>
      <c r="G536" s="7"/>
      <c r="I536" s="7"/>
      <c r="K536" s="62"/>
      <c r="L536" s="7"/>
      <c r="M536" s="7"/>
      <c r="O536" s="7"/>
      <c r="Q536" s="7"/>
      <c r="S536" s="7"/>
      <c r="U536" s="7"/>
      <c r="W536" s="7"/>
    </row>
    <row r="537">
      <c r="E537" s="67"/>
      <c r="F537" s="7"/>
      <c r="G537" s="7"/>
      <c r="I537" s="7"/>
      <c r="K537" s="62"/>
      <c r="L537" s="7"/>
      <c r="M537" s="7"/>
      <c r="O537" s="7"/>
      <c r="Q537" s="7"/>
      <c r="S537" s="7"/>
      <c r="U537" s="7"/>
      <c r="W537" s="7"/>
    </row>
    <row r="538">
      <c r="E538" s="67"/>
      <c r="F538" s="7"/>
      <c r="G538" s="7"/>
      <c r="I538" s="7"/>
      <c r="K538" s="62"/>
      <c r="L538" s="7"/>
      <c r="M538" s="7"/>
      <c r="O538" s="7"/>
      <c r="Q538" s="7"/>
      <c r="S538" s="7"/>
      <c r="U538" s="7"/>
      <c r="W538" s="7"/>
    </row>
    <row r="539">
      <c r="E539" s="67"/>
      <c r="F539" s="7"/>
      <c r="G539" s="7"/>
      <c r="I539" s="7"/>
      <c r="K539" s="62"/>
      <c r="L539" s="7"/>
      <c r="M539" s="7"/>
      <c r="O539" s="7"/>
      <c r="Q539" s="7"/>
      <c r="S539" s="7"/>
      <c r="U539" s="7"/>
      <c r="W539" s="7"/>
    </row>
    <row r="540">
      <c r="E540" s="67"/>
      <c r="F540" s="7"/>
      <c r="G540" s="7"/>
      <c r="I540" s="7"/>
      <c r="K540" s="62"/>
      <c r="L540" s="7"/>
      <c r="M540" s="7"/>
      <c r="O540" s="7"/>
      <c r="Q540" s="7"/>
      <c r="S540" s="7"/>
      <c r="U540" s="7"/>
      <c r="W540" s="7"/>
    </row>
    <row r="541">
      <c r="E541" s="67"/>
      <c r="F541" s="7"/>
      <c r="G541" s="7"/>
      <c r="I541" s="7"/>
      <c r="K541" s="62"/>
      <c r="L541" s="7"/>
      <c r="M541" s="7"/>
      <c r="O541" s="7"/>
      <c r="Q541" s="7"/>
      <c r="S541" s="7"/>
      <c r="U541" s="7"/>
      <c r="W541" s="7"/>
    </row>
    <row r="542">
      <c r="E542" s="67"/>
      <c r="F542" s="7"/>
      <c r="G542" s="7"/>
      <c r="I542" s="7"/>
      <c r="K542" s="62"/>
      <c r="L542" s="7"/>
      <c r="M542" s="7"/>
      <c r="O542" s="7"/>
      <c r="Q542" s="7"/>
      <c r="S542" s="7"/>
      <c r="U542" s="7"/>
      <c r="W542" s="7"/>
    </row>
    <row r="543">
      <c r="E543" s="67"/>
      <c r="F543" s="7"/>
      <c r="G543" s="7"/>
      <c r="I543" s="7"/>
      <c r="K543" s="62"/>
      <c r="L543" s="7"/>
      <c r="M543" s="7"/>
      <c r="O543" s="7"/>
      <c r="Q543" s="7"/>
      <c r="S543" s="7"/>
      <c r="U543" s="7"/>
      <c r="W543" s="7"/>
    </row>
    <row r="544">
      <c r="E544" s="67"/>
      <c r="F544" s="7"/>
      <c r="G544" s="7"/>
      <c r="I544" s="7"/>
      <c r="K544" s="62"/>
      <c r="L544" s="7"/>
      <c r="M544" s="7"/>
      <c r="O544" s="7"/>
      <c r="Q544" s="7"/>
      <c r="S544" s="7"/>
      <c r="U544" s="7"/>
      <c r="W544" s="7"/>
    </row>
    <row r="545">
      <c r="E545" s="67"/>
      <c r="F545" s="7"/>
      <c r="G545" s="7"/>
      <c r="I545" s="7"/>
      <c r="K545" s="62"/>
      <c r="L545" s="7"/>
      <c r="M545" s="7"/>
      <c r="O545" s="7"/>
      <c r="Q545" s="7"/>
      <c r="S545" s="7"/>
      <c r="U545" s="7"/>
      <c r="W545" s="7"/>
    </row>
    <row r="546">
      <c r="E546" s="67"/>
      <c r="F546" s="7"/>
      <c r="G546" s="7"/>
      <c r="I546" s="7"/>
      <c r="K546" s="62"/>
      <c r="L546" s="7"/>
      <c r="M546" s="7"/>
      <c r="O546" s="7"/>
      <c r="Q546" s="7"/>
      <c r="S546" s="7"/>
      <c r="U546" s="7"/>
      <c r="W546" s="7"/>
    </row>
    <row r="547">
      <c r="E547" s="67"/>
      <c r="F547" s="7"/>
      <c r="G547" s="7"/>
      <c r="I547" s="7"/>
      <c r="K547" s="62"/>
      <c r="L547" s="7"/>
      <c r="M547" s="7"/>
      <c r="O547" s="7"/>
      <c r="Q547" s="7"/>
      <c r="S547" s="7"/>
      <c r="U547" s="7"/>
      <c r="W547" s="7"/>
    </row>
    <row r="548">
      <c r="E548" s="67"/>
      <c r="F548" s="7"/>
      <c r="G548" s="7"/>
      <c r="I548" s="7"/>
      <c r="K548" s="62"/>
      <c r="L548" s="7"/>
      <c r="M548" s="7"/>
      <c r="O548" s="7"/>
      <c r="Q548" s="7"/>
      <c r="S548" s="7"/>
      <c r="U548" s="7"/>
      <c r="W548" s="7"/>
    </row>
    <row r="549">
      <c r="E549" s="67"/>
      <c r="F549" s="7"/>
      <c r="G549" s="7"/>
      <c r="I549" s="7"/>
      <c r="K549" s="62"/>
      <c r="L549" s="7"/>
      <c r="M549" s="7"/>
      <c r="O549" s="7"/>
      <c r="Q549" s="7"/>
      <c r="S549" s="7"/>
      <c r="U549" s="7"/>
      <c r="W549" s="7"/>
    </row>
    <row r="550">
      <c r="E550" s="67"/>
      <c r="F550" s="7"/>
      <c r="G550" s="7"/>
      <c r="I550" s="7"/>
      <c r="K550" s="62"/>
      <c r="L550" s="7"/>
      <c r="M550" s="7"/>
      <c r="O550" s="7"/>
      <c r="Q550" s="7"/>
      <c r="S550" s="7"/>
      <c r="U550" s="7"/>
      <c r="W550" s="7"/>
    </row>
    <row r="551">
      <c r="E551" s="67"/>
      <c r="F551" s="7"/>
      <c r="G551" s="7"/>
      <c r="I551" s="7"/>
      <c r="K551" s="62"/>
      <c r="L551" s="7"/>
      <c r="M551" s="7"/>
      <c r="O551" s="7"/>
      <c r="Q551" s="7"/>
      <c r="S551" s="7"/>
      <c r="U551" s="7"/>
      <c r="W551" s="7"/>
    </row>
    <row r="552">
      <c r="E552" s="67"/>
      <c r="F552" s="7"/>
      <c r="G552" s="7"/>
      <c r="I552" s="7"/>
      <c r="K552" s="62"/>
      <c r="L552" s="7"/>
      <c r="M552" s="7"/>
      <c r="O552" s="7"/>
      <c r="Q552" s="7"/>
      <c r="S552" s="7"/>
      <c r="U552" s="7"/>
      <c r="W552" s="7"/>
    </row>
    <row r="553">
      <c r="E553" s="67"/>
      <c r="F553" s="7"/>
      <c r="G553" s="7"/>
      <c r="I553" s="7"/>
      <c r="K553" s="62"/>
      <c r="L553" s="7"/>
      <c r="M553" s="7"/>
      <c r="O553" s="7"/>
      <c r="Q553" s="7"/>
      <c r="S553" s="7"/>
      <c r="U553" s="7"/>
      <c r="W553" s="7"/>
    </row>
    <row r="554">
      <c r="E554" s="67"/>
      <c r="F554" s="7"/>
      <c r="G554" s="7"/>
      <c r="I554" s="7"/>
      <c r="K554" s="62"/>
      <c r="L554" s="7"/>
      <c r="M554" s="7"/>
      <c r="O554" s="7"/>
      <c r="Q554" s="7"/>
      <c r="S554" s="7"/>
      <c r="U554" s="7"/>
      <c r="W554" s="7"/>
    </row>
    <row r="555">
      <c r="E555" s="67"/>
      <c r="F555" s="7"/>
      <c r="G555" s="7"/>
      <c r="I555" s="7"/>
      <c r="K555" s="62"/>
      <c r="L555" s="7"/>
      <c r="M555" s="7"/>
      <c r="O555" s="7"/>
      <c r="Q555" s="7"/>
      <c r="S555" s="7"/>
      <c r="U555" s="7"/>
      <c r="W555" s="7"/>
    </row>
    <row r="556">
      <c r="E556" s="67"/>
      <c r="F556" s="7"/>
      <c r="G556" s="7"/>
      <c r="I556" s="7"/>
      <c r="K556" s="62"/>
      <c r="L556" s="7"/>
      <c r="M556" s="7"/>
      <c r="O556" s="7"/>
      <c r="Q556" s="7"/>
      <c r="S556" s="7"/>
      <c r="U556" s="7"/>
      <c r="W556" s="7"/>
    </row>
    <row r="557">
      <c r="E557" s="67"/>
      <c r="F557" s="7"/>
      <c r="G557" s="7"/>
      <c r="I557" s="7"/>
      <c r="K557" s="62"/>
      <c r="L557" s="7"/>
      <c r="M557" s="7"/>
      <c r="O557" s="7"/>
      <c r="Q557" s="7"/>
      <c r="S557" s="7"/>
      <c r="U557" s="7"/>
      <c r="W557" s="7"/>
    </row>
    <row r="558">
      <c r="E558" s="67"/>
      <c r="F558" s="7"/>
      <c r="G558" s="7"/>
      <c r="I558" s="7"/>
      <c r="K558" s="62"/>
      <c r="L558" s="7"/>
      <c r="M558" s="7"/>
      <c r="O558" s="7"/>
      <c r="Q558" s="7"/>
      <c r="S558" s="7"/>
      <c r="U558" s="7"/>
      <c r="W558" s="7"/>
    </row>
    <row r="559">
      <c r="E559" s="67"/>
      <c r="F559" s="7"/>
      <c r="G559" s="7"/>
      <c r="I559" s="7"/>
      <c r="K559" s="62"/>
      <c r="L559" s="7"/>
      <c r="M559" s="7"/>
      <c r="O559" s="7"/>
      <c r="Q559" s="7"/>
      <c r="S559" s="7"/>
      <c r="U559" s="7"/>
      <c r="W559" s="7"/>
    </row>
    <row r="560">
      <c r="E560" s="67"/>
      <c r="F560" s="7"/>
      <c r="G560" s="7"/>
      <c r="I560" s="7"/>
      <c r="K560" s="62"/>
      <c r="L560" s="7"/>
      <c r="M560" s="7"/>
      <c r="O560" s="7"/>
      <c r="Q560" s="7"/>
      <c r="S560" s="7"/>
      <c r="U560" s="7"/>
      <c r="W560" s="7"/>
    </row>
    <row r="561">
      <c r="E561" s="67"/>
      <c r="F561" s="7"/>
      <c r="G561" s="7"/>
      <c r="I561" s="7"/>
      <c r="K561" s="62"/>
      <c r="L561" s="7"/>
      <c r="M561" s="7"/>
      <c r="O561" s="7"/>
      <c r="Q561" s="7"/>
      <c r="S561" s="7"/>
      <c r="U561" s="7"/>
      <c r="W561" s="7"/>
    </row>
    <row r="562">
      <c r="E562" s="67"/>
      <c r="F562" s="7"/>
      <c r="G562" s="7"/>
      <c r="I562" s="7"/>
      <c r="K562" s="62"/>
      <c r="L562" s="7"/>
      <c r="M562" s="7"/>
      <c r="O562" s="7"/>
      <c r="Q562" s="7"/>
      <c r="S562" s="7"/>
      <c r="U562" s="7"/>
      <c r="W562" s="7"/>
    </row>
    <row r="563">
      <c r="E563" s="67"/>
      <c r="F563" s="7"/>
      <c r="G563" s="7"/>
      <c r="I563" s="7"/>
      <c r="K563" s="62"/>
      <c r="L563" s="7"/>
      <c r="M563" s="7"/>
      <c r="O563" s="7"/>
      <c r="Q563" s="7"/>
      <c r="S563" s="7"/>
      <c r="U563" s="7"/>
      <c r="W563" s="7"/>
    </row>
    <row r="564">
      <c r="E564" s="67"/>
      <c r="F564" s="7"/>
      <c r="G564" s="7"/>
      <c r="I564" s="7"/>
      <c r="K564" s="62"/>
      <c r="L564" s="7"/>
      <c r="M564" s="7"/>
      <c r="O564" s="7"/>
      <c r="Q564" s="7"/>
      <c r="S564" s="7"/>
      <c r="U564" s="7"/>
      <c r="W564" s="7"/>
    </row>
    <row r="565">
      <c r="E565" s="67"/>
      <c r="F565" s="7"/>
      <c r="G565" s="7"/>
      <c r="I565" s="7"/>
      <c r="K565" s="62"/>
      <c r="L565" s="7"/>
      <c r="M565" s="7"/>
      <c r="O565" s="7"/>
      <c r="Q565" s="7"/>
      <c r="S565" s="7"/>
      <c r="U565" s="7"/>
      <c r="W565" s="7"/>
    </row>
    <row r="566">
      <c r="E566" s="67"/>
      <c r="F566" s="7"/>
      <c r="G566" s="7"/>
      <c r="I566" s="7"/>
      <c r="K566" s="62"/>
      <c r="L566" s="7"/>
      <c r="M566" s="7"/>
      <c r="O566" s="7"/>
      <c r="Q566" s="7"/>
      <c r="S566" s="7"/>
      <c r="U566" s="7"/>
      <c r="W566" s="7"/>
    </row>
    <row r="567">
      <c r="E567" s="67"/>
      <c r="F567" s="7"/>
      <c r="G567" s="7"/>
      <c r="I567" s="7"/>
      <c r="K567" s="62"/>
      <c r="L567" s="7"/>
      <c r="M567" s="7"/>
      <c r="O567" s="7"/>
      <c r="Q567" s="7"/>
      <c r="S567" s="7"/>
      <c r="U567" s="7"/>
      <c r="W567" s="7"/>
    </row>
    <row r="568">
      <c r="E568" s="67"/>
      <c r="F568" s="7"/>
      <c r="G568" s="7"/>
      <c r="I568" s="7"/>
      <c r="K568" s="62"/>
      <c r="L568" s="7"/>
      <c r="M568" s="7"/>
      <c r="O568" s="7"/>
      <c r="Q568" s="7"/>
      <c r="S568" s="7"/>
      <c r="U568" s="7"/>
      <c r="W568" s="7"/>
    </row>
    <row r="569">
      <c r="E569" s="67"/>
      <c r="F569" s="7"/>
      <c r="G569" s="7"/>
      <c r="I569" s="7"/>
      <c r="K569" s="62"/>
      <c r="L569" s="7"/>
      <c r="M569" s="7"/>
      <c r="O569" s="7"/>
      <c r="Q569" s="7"/>
      <c r="S569" s="7"/>
      <c r="U569" s="7"/>
      <c r="W569" s="7"/>
    </row>
    <row r="570">
      <c r="E570" s="67"/>
      <c r="F570" s="7"/>
      <c r="G570" s="7"/>
      <c r="I570" s="7"/>
      <c r="K570" s="62"/>
      <c r="L570" s="7"/>
      <c r="M570" s="7"/>
      <c r="O570" s="7"/>
      <c r="Q570" s="7"/>
      <c r="S570" s="7"/>
      <c r="U570" s="7"/>
      <c r="W570" s="7"/>
    </row>
    <row r="571">
      <c r="E571" s="67"/>
      <c r="F571" s="7"/>
      <c r="G571" s="7"/>
      <c r="I571" s="7"/>
      <c r="K571" s="62"/>
      <c r="L571" s="7"/>
      <c r="M571" s="7"/>
      <c r="O571" s="7"/>
      <c r="Q571" s="7"/>
      <c r="S571" s="7"/>
      <c r="U571" s="7"/>
      <c r="W571" s="7"/>
    </row>
    <row r="572">
      <c r="E572" s="67"/>
      <c r="F572" s="7"/>
      <c r="G572" s="7"/>
      <c r="I572" s="7"/>
      <c r="K572" s="62"/>
      <c r="L572" s="7"/>
      <c r="M572" s="7"/>
      <c r="O572" s="7"/>
      <c r="Q572" s="7"/>
      <c r="S572" s="7"/>
      <c r="U572" s="7"/>
      <c r="W572" s="7"/>
    </row>
    <row r="573">
      <c r="E573" s="67"/>
      <c r="F573" s="7"/>
      <c r="G573" s="7"/>
      <c r="I573" s="7"/>
      <c r="K573" s="62"/>
      <c r="L573" s="7"/>
      <c r="M573" s="7"/>
      <c r="O573" s="7"/>
      <c r="Q573" s="7"/>
      <c r="S573" s="7"/>
      <c r="U573" s="7"/>
      <c r="W573" s="7"/>
    </row>
    <row r="574">
      <c r="E574" s="67"/>
      <c r="F574" s="7"/>
      <c r="G574" s="7"/>
      <c r="I574" s="7"/>
      <c r="K574" s="62"/>
      <c r="L574" s="7"/>
      <c r="M574" s="7"/>
      <c r="O574" s="7"/>
      <c r="Q574" s="7"/>
      <c r="S574" s="7"/>
      <c r="U574" s="7"/>
      <c r="W574" s="7"/>
    </row>
    <row r="575">
      <c r="E575" s="67"/>
      <c r="F575" s="7"/>
      <c r="G575" s="7"/>
      <c r="I575" s="7"/>
      <c r="K575" s="62"/>
      <c r="L575" s="7"/>
      <c r="M575" s="7"/>
      <c r="O575" s="7"/>
      <c r="Q575" s="7"/>
      <c r="S575" s="7"/>
      <c r="U575" s="7"/>
      <c r="W575" s="7"/>
    </row>
    <row r="576">
      <c r="E576" s="67"/>
      <c r="F576" s="7"/>
      <c r="G576" s="7"/>
      <c r="I576" s="7"/>
      <c r="K576" s="62"/>
      <c r="L576" s="7"/>
      <c r="M576" s="7"/>
      <c r="O576" s="7"/>
      <c r="Q576" s="7"/>
      <c r="S576" s="7"/>
      <c r="U576" s="7"/>
      <c r="W576" s="7"/>
    </row>
    <row r="577">
      <c r="E577" s="67"/>
      <c r="F577" s="7"/>
      <c r="G577" s="7"/>
      <c r="I577" s="7"/>
      <c r="K577" s="62"/>
      <c r="L577" s="7"/>
      <c r="M577" s="7"/>
      <c r="O577" s="7"/>
      <c r="Q577" s="7"/>
      <c r="S577" s="7"/>
      <c r="U577" s="7"/>
      <c r="W577" s="7"/>
    </row>
    <row r="578">
      <c r="E578" s="67"/>
      <c r="F578" s="7"/>
      <c r="G578" s="7"/>
      <c r="I578" s="7"/>
      <c r="K578" s="62"/>
      <c r="L578" s="7"/>
      <c r="M578" s="7"/>
      <c r="O578" s="7"/>
      <c r="Q578" s="7"/>
      <c r="S578" s="7"/>
      <c r="U578" s="7"/>
      <c r="W578" s="7"/>
    </row>
    <row r="579">
      <c r="E579" s="67"/>
      <c r="F579" s="7"/>
      <c r="G579" s="7"/>
      <c r="I579" s="7"/>
      <c r="K579" s="62"/>
      <c r="L579" s="7"/>
      <c r="M579" s="7"/>
      <c r="O579" s="7"/>
      <c r="Q579" s="7"/>
      <c r="S579" s="7"/>
      <c r="U579" s="7"/>
      <c r="W579" s="7"/>
    </row>
    <row r="580">
      <c r="E580" s="67"/>
      <c r="F580" s="7"/>
      <c r="G580" s="7"/>
      <c r="I580" s="7"/>
      <c r="K580" s="62"/>
      <c r="L580" s="7"/>
      <c r="M580" s="7"/>
      <c r="O580" s="7"/>
      <c r="Q580" s="7"/>
      <c r="S580" s="7"/>
      <c r="U580" s="7"/>
      <c r="W580" s="7"/>
    </row>
    <row r="581">
      <c r="E581" s="67"/>
      <c r="F581" s="7"/>
      <c r="G581" s="7"/>
      <c r="I581" s="7"/>
      <c r="K581" s="62"/>
      <c r="L581" s="7"/>
      <c r="M581" s="7"/>
      <c r="O581" s="7"/>
      <c r="Q581" s="7"/>
      <c r="S581" s="7"/>
      <c r="U581" s="7"/>
      <c r="W581" s="7"/>
    </row>
    <row r="582">
      <c r="E582" s="67"/>
      <c r="F582" s="7"/>
      <c r="G582" s="7"/>
      <c r="I582" s="7"/>
      <c r="K582" s="62"/>
      <c r="L582" s="7"/>
      <c r="M582" s="7"/>
      <c r="O582" s="7"/>
      <c r="Q582" s="7"/>
      <c r="S582" s="7"/>
      <c r="U582" s="7"/>
      <c r="W582" s="7"/>
    </row>
    <row r="583">
      <c r="E583" s="67"/>
      <c r="F583" s="7"/>
      <c r="G583" s="7"/>
      <c r="I583" s="7"/>
      <c r="K583" s="62"/>
      <c r="L583" s="7"/>
      <c r="M583" s="7"/>
      <c r="O583" s="7"/>
      <c r="Q583" s="7"/>
      <c r="S583" s="7"/>
      <c r="U583" s="7"/>
      <c r="W583" s="7"/>
    </row>
    <row r="584">
      <c r="E584" s="67"/>
      <c r="F584" s="7"/>
      <c r="G584" s="7"/>
      <c r="I584" s="7"/>
      <c r="K584" s="62"/>
      <c r="L584" s="7"/>
      <c r="M584" s="7"/>
      <c r="O584" s="7"/>
      <c r="Q584" s="7"/>
      <c r="S584" s="7"/>
      <c r="U584" s="7"/>
      <c r="W584" s="7"/>
    </row>
    <row r="585">
      <c r="E585" s="67"/>
      <c r="F585" s="7"/>
      <c r="G585" s="7"/>
      <c r="I585" s="7"/>
      <c r="K585" s="62"/>
      <c r="L585" s="7"/>
      <c r="M585" s="7"/>
      <c r="O585" s="7"/>
      <c r="Q585" s="7"/>
      <c r="S585" s="7"/>
      <c r="U585" s="7"/>
      <c r="W585" s="7"/>
    </row>
    <row r="586">
      <c r="E586" s="67"/>
      <c r="F586" s="7"/>
      <c r="G586" s="7"/>
      <c r="I586" s="7"/>
      <c r="K586" s="62"/>
      <c r="L586" s="7"/>
      <c r="M586" s="7"/>
      <c r="O586" s="7"/>
      <c r="Q586" s="7"/>
      <c r="S586" s="7"/>
      <c r="U586" s="7"/>
      <c r="W586" s="7"/>
    </row>
    <row r="587">
      <c r="E587" s="67"/>
      <c r="F587" s="7"/>
      <c r="G587" s="7"/>
      <c r="I587" s="7"/>
      <c r="K587" s="62"/>
      <c r="L587" s="7"/>
      <c r="M587" s="7"/>
      <c r="O587" s="7"/>
      <c r="Q587" s="7"/>
      <c r="S587" s="7"/>
      <c r="U587" s="7"/>
      <c r="W587" s="7"/>
    </row>
    <row r="588">
      <c r="E588" s="67"/>
      <c r="F588" s="7"/>
      <c r="G588" s="7"/>
      <c r="I588" s="7"/>
      <c r="K588" s="62"/>
      <c r="L588" s="7"/>
      <c r="M588" s="7"/>
      <c r="O588" s="7"/>
      <c r="Q588" s="7"/>
      <c r="S588" s="7"/>
      <c r="U588" s="7"/>
      <c r="W588" s="7"/>
    </row>
    <row r="589">
      <c r="E589" s="67"/>
      <c r="F589" s="7"/>
      <c r="G589" s="7"/>
      <c r="I589" s="7"/>
      <c r="K589" s="62"/>
      <c r="L589" s="7"/>
      <c r="M589" s="7"/>
      <c r="O589" s="7"/>
      <c r="Q589" s="7"/>
      <c r="S589" s="7"/>
      <c r="U589" s="7"/>
      <c r="W589" s="7"/>
    </row>
    <row r="590">
      <c r="E590" s="67"/>
      <c r="F590" s="7"/>
      <c r="G590" s="7"/>
      <c r="I590" s="7"/>
      <c r="K590" s="62"/>
      <c r="L590" s="7"/>
      <c r="M590" s="7"/>
      <c r="O590" s="7"/>
      <c r="Q590" s="7"/>
      <c r="S590" s="7"/>
      <c r="U590" s="7"/>
      <c r="W590" s="7"/>
    </row>
    <row r="591">
      <c r="E591" s="67"/>
      <c r="F591" s="7"/>
      <c r="G591" s="7"/>
      <c r="I591" s="7"/>
      <c r="K591" s="62"/>
      <c r="L591" s="7"/>
      <c r="M591" s="7"/>
      <c r="O591" s="7"/>
      <c r="Q591" s="7"/>
      <c r="S591" s="7"/>
      <c r="U591" s="7"/>
      <c r="W591" s="7"/>
    </row>
    <row r="592">
      <c r="E592" s="67"/>
      <c r="F592" s="7"/>
      <c r="G592" s="7"/>
      <c r="I592" s="7"/>
      <c r="K592" s="62"/>
      <c r="L592" s="7"/>
      <c r="M592" s="7"/>
      <c r="O592" s="7"/>
      <c r="Q592" s="7"/>
      <c r="S592" s="7"/>
      <c r="U592" s="7"/>
      <c r="W592" s="7"/>
    </row>
    <row r="593">
      <c r="E593" s="67"/>
      <c r="F593" s="7"/>
      <c r="G593" s="7"/>
      <c r="I593" s="7"/>
      <c r="K593" s="62"/>
      <c r="L593" s="7"/>
      <c r="M593" s="7"/>
      <c r="O593" s="7"/>
      <c r="Q593" s="7"/>
      <c r="S593" s="7"/>
      <c r="U593" s="7"/>
      <c r="W593" s="7"/>
    </row>
    <row r="594">
      <c r="E594" s="67"/>
      <c r="F594" s="7"/>
      <c r="G594" s="7"/>
      <c r="I594" s="7"/>
      <c r="K594" s="62"/>
      <c r="L594" s="7"/>
      <c r="M594" s="7"/>
      <c r="O594" s="7"/>
      <c r="Q594" s="7"/>
      <c r="S594" s="7"/>
      <c r="U594" s="7"/>
      <c r="W594" s="7"/>
    </row>
    <row r="595">
      <c r="E595" s="67"/>
      <c r="F595" s="7"/>
      <c r="G595" s="7"/>
      <c r="I595" s="7"/>
      <c r="K595" s="62"/>
      <c r="L595" s="7"/>
      <c r="M595" s="7"/>
      <c r="O595" s="7"/>
      <c r="Q595" s="7"/>
      <c r="S595" s="7"/>
      <c r="U595" s="7"/>
      <c r="W595" s="7"/>
    </row>
    <row r="596">
      <c r="E596" s="67"/>
      <c r="F596" s="7"/>
      <c r="G596" s="7"/>
      <c r="I596" s="7"/>
      <c r="K596" s="62"/>
      <c r="L596" s="7"/>
      <c r="M596" s="7"/>
      <c r="O596" s="7"/>
      <c r="Q596" s="7"/>
      <c r="S596" s="7"/>
      <c r="U596" s="7"/>
      <c r="W596" s="7"/>
    </row>
    <row r="597">
      <c r="E597" s="67"/>
      <c r="F597" s="7"/>
      <c r="G597" s="7"/>
      <c r="I597" s="7"/>
      <c r="K597" s="62"/>
      <c r="L597" s="7"/>
      <c r="M597" s="7"/>
      <c r="O597" s="7"/>
      <c r="Q597" s="7"/>
      <c r="S597" s="7"/>
      <c r="U597" s="7"/>
      <c r="W597" s="7"/>
    </row>
    <row r="598">
      <c r="E598" s="67"/>
      <c r="F598" s="7"/>
      <c r="G598" s="7"/>
      <c r="I598" s="7"/>
      <c r="K598" s="62"/>
      <c r="L598" s="7"/>
      <c r="M598" s="7"/>
      <c r="O598" s="7"/>
      <c r="Q598" s="7"/>
      <c r="S598" s="7"/>
      <c r="U598" s="7"/>
      <c r="W598" s="7"/>
    </row>
    <row r="599">
      <c r="E599" s="67"/>
      <c r="F599" s="7"/>
      <c r="G599" s="7"/>
      <c r="I599" s="7"/>
      <c r="K599" s="62"/>
      <c r="L599" s="7"/>
      <c r="M599" s="7"/>
      <c r="O599" s="7"/>
      <c r="Q599" s="7"/>
      <c r="S599" s="7"/>
      <c r="U599" s="7"/>
      <c r="W599" s="7"/>
    </row>
    <row r="600">
      <c r="E600" s="67"/>
      <c r="F600" s="7"/>
      <c r="G600" s="7"/>
      <c r="I600" s="7"/>
      <c r="K600" s="62"/>
      <c r="L600" s="7"/>
      <c r="M600" s="7"/>
      <c r="O600" s="7"/>
      <c r="Q600" s="7"/>
      <c r="S600" s="7"/>
      <c r="U600" s="7"/>
      <c r="W600" s="7"/>
    </row>
    <row r="601">
      <c r="E601" s="67"/>
      <c r="F601" s="7"/>
      <c r="G601" s="7"/>
      <c r="I601" s="7"/>
      <c r="K601" s="62"/>
      <c r="L601" s="7"/>
      <c r="M601" s="7"/>
      <c r="O601" s="7"/>
      <c r="Q601" s="7"/>
      <c r="S601" s="7"/>
      <c r="U601" s="7"/>
      <c r="W601" s="7"/>
    </row>
    <row r="602">
      <c r="E602" s="67"/>
      <c r="F602" s="7"/>
      <c r="G602" s="7"/>
      <c r="I602" s="7"/>
      <c r="K602" s="62"/>
      <c r="L602" s="7"/>
      <c r="M602" s="7"/>
      <c r="O602" s="7"/>
      <c r="Q602" s="7"/>
      <c r="S602" s="7"/>
      <c r="U602" s="7"/>
      <c r="W602" s="7"/>
    </row>
    <row r="603">
      <c r="E603" s="67"/>
      <c r="F603" s="7"/>
      <c r="G603" s="7"/>
      <c r="I603" s="7"/>
      <c r="K603" s="62"/>
      <c r="L603" s="7"/>
      <c r="M603" s="7"/>
      <c r="O603" s="7"/>
      <c r="Q603" s="7"/>
      <c r="S603" s="7"/>
      <c r="U603" s="7"/>
      <c r="W603" s="7"/>
    </row>
    <row r="604">
      <c r="E604" s="67"/>
      <c r="F604" s="7"/>
      <c r="G604" s="7"/>
      <c r="I604" s="7"/>
      <c r="K604" s="62"/>
      <c r="L604" s="7"/>
      <c r="M604" s="7"/>
      <c r="O604" s="7"/>
      <c r="Q604" s="7"/>
      <c r="S604" s="7"/>
      <c r="U604" s="7"/>
      <c r="W604" s="7"/>
    </row>
    <row r="605">
      <c r="E605" s="67"/>
      <c r="F605" s="7"/>
      <c r="G605" s="7"/>
      <c r="I605" s="7"/>
      <c r="K605" s="62"/>
      <c r="L605" s="7"/>
      <c r="M605" s="7"/>
      <c r="O605" s="7"/>
      <c r="Q605" s="7"/>
      <c r="S605" s="7"/>
      <c r="U605" s="7"/>
      <c r="W605" s="7"/>
    </row>
    <row r="606">
      <c r="E606" s="67"/>
      <c r="F606" s="7"/>
      <c r="G606" s="7"/>
      <c r="I606" s="7"/>
      <c r="K606" s="62"/>
      <c r="L606" s="7"/>
      <c r="M606" s="7"/>
      <c r="O606" s="7"/>
      <c r="Q606" s="7"/>
      <c r="S606" s="7"/>
      <c r="U606" s="7"/>
      <c r="W606" s="7"/>
    </row>
    <row r="607">
      <c r="E607" s="67"/>
      <c r="F607" s="7"/>
      <c r="G607" s="7"/>
      <c r="I607" s="7"/>
      <c r="K607" s="62"/>
      <c r="L607" s="7"/>
      <c r="M607" s="7"/>
      <c r="O607" s="7"/>
      <c r="Q607" s="7"/>
      <c r="S607" s="7"/>
      <c r="U607" s="7"/>
      <c r="W607" s="7"/>
    </row>
    <row r="608">
      <c r="E608" s="67"/>
      <c r="F608" s="7"/>
      <c r="G608" s="7"/>
      <c r="I608" s="7"/>
      <c r="K608" s="62"/>
      <c r="L608" s="7"/>
      <c r="M608" s="7"/>
      <c r="O608" s="7"/>
      <c r="Q608" s="7"/>
      <c r="S608" s="7"/>
      <c r="U608" s="7"/>
      <c r="W608" s="7"/>
    </row>
    <row r="609">
      <c r="E609" s="67"/>
      <c r="F609" s="7"/>
      <c r="G609" s="7"/>
      <c r="I609" s="7"/>
      <c r="K609" s="62"/>
      <c r="L609" s="7"/>
      <c r="M609" s="7"/>
      <c r="O609" s="7"/>
      <c r="Q609" s="7"/>
      <c r="S609" s="7"/>
      <c r="U609" s="7"/>
      <c r="W609" s="7"/>
    </row>
    <row r="610">
      <c r="E610" s="67"/>
      <c r="F610" s="7"/>
      <c r="G610" s="7"/>
      <c r="I610" s="7"/>
      <c r="K610" s="62"/>
      <c r="L610" s="7"/>
      <c r="M610" s="7"/>
      <c r="O610" s="7"/>
      <c r="Q610" s="7"/>
      <c r="S610" s="7"/>
      <c r="U610" s="7"/>
      <c r="W610" s="7"/>
    </row>
    <row r="611">
      <c r="E611" s="67"/>
      <c r="F611" s="7"/>
      <c r="G611" s="7"/>
      <c r="I611" s="7"/>
      <c r="K611" s="62"/>
      <c r="L611" s="7"/>
      <c r="M611" s="7"/>
      <c r="O611" s="7"/>
      <c r="Q611" s="7"/>
      <c r="S611" s="7"/>
      <c r="U611" s="7"/>
      <c r="W611" s="7"/>
    </row>
    <row r="612">
      <c r="E612" s="67"/>
      <c r="F612" s="7"/>
      <c r="G612" s="7"/>
      <c r="I612" s="7"/>
      <c r="K612" s="62"/>
      <c r="L612" s="7"/>
      <c r="M612" s="7"/>
      <c r="O612" s="7"/>
      <c r="Q612" s="7"/>
      <c r="S612" s="7"/>
      <c r="U612" s="7"/>
      <c r="W612" s="7"/>
    </row>
    <row r="613">
      <c r="E613" s="67"/>
      <c r="F613" s="7"/>
      <c r="G613" s="7"/>
      <c r="I613" s="7"/>
      <c r="K613" s="62"/>
      <c r="L613" s="7"/>
      <c r="M613" s="7"/>
      <c r="O613" s="7"/>
      <c r="Q613" s="7"/>
      <c r="S613" s="7"/>
      <c r="U613" s="7"/>
      <c r="W613" s="7"/>
    </row>
    <row r="614">
      <c r="E614" s="67"/>
      <c r="F614" s="7"/>
      <c r="G614" s="7"/>
      <c r="I614" s="7"/>
      <c r="K614" s="62"/>
      <c r="L614" s="7"/>
      <c r="M614" s="7"/>
      <c r="O614" s="7"/>
      <c r="Q614" s="7"/>
      <c r="S614" s="7"/>
      <c r="U614" s="7"/>
      <c r="W614" s="7"/>
    </row>
    <row r="615">
      <c r="E615" s="67"/>
      <c r="F615" s="7"/>
      <c r="G615" s="7"/>
      <c r="I615" s="7"/>
      <c r="K615" s="62"/>
      <c r="L615" s="7"/>
      <c r="M615" s="7"/>
      <c r="O615" s="7"/>
      <c r="Q615" s="7"/>
      <c r="S615" s="7"/>
      <c r="U615" s="7"/>
      <c r="W615" s="7"/>
    </row>
    <row r="616">
      <c r="E616" s="67"/>
      <c r="F616" s="7"/>
      <c r="G616" s="7"/>
      <c r="I616" s="7"/>
      <c r="K616" s="62"/>
      <c r="L616" s="7"/>
      <c r="M616" s="7"/>
      <c r="O616" s="7"/>
      <c r="Q616" s="7"/>
      <c r="S616" s="7"/>
      <c r="U616" s="7"/>
      <c r="W616" s="7"/>
    </row>
    <row r="617">
      <c r="E617" s="67"/>
      <c r="F617" s="7"/>
      <c r="G617" s="7"/>
      <c r="I617" s="7"/>
      <c r="K617" s="62"/>
      <c r="L617" s="7"/>
      <c r="M617" s="7"/>
      <c r="O617" s="7"/>
      <c r="Q617" s="7"/>
      <c r="S617" s="7"/>
      <c r="U617" s="7"/>
      <c r="W617" s="7"/>
    </row>
    <row r="618">
      <c r="E618" s="67"/>
      <c r="F618" s="7"/>
      <c r="G618" s="7"/>
      <c r="I618" s="7"/>
      <c r="K618" s="62"/>
      <c r="L618" s="7"/>
      <c r="M618" s="7"/>
      <c r="O618" s="7"/>
      <c r="Q618" s="7"/>
      <c r="S618" s="7"/>
      <c r="U618" s="7"/>
      <c r="W618" s="7"/>
    </row>
    <row r="619">
      <c r="E619" s="67"/>
      <c r="F619" s="7"/>
      <c r="G619" s="7"/>
      <c r="I619" s="7"/>
      <c r="K619" s="62"/>
      <c r="L619" s="7"/>
      <c r="M619" s="7"/>
      <c r="O619" s="7"/>
      <c r="Q619" s="7"/>
      <c r="S619" s="7"/>
      <c r="U619" s="7"/>
      <c r="W619" s="7"/>
    </row>
    <row r="620">
      <c r="E620" s="67"/>
      <c r="F620" s="7"/>
      <c r="G620" s="7"/>
      <c r="I620" s="7"/>
      <c r="K620" s="62"/>
      <c r="L620" s="7"/>
      <c r="M620" s="7"/>
      <c r="O620" s="7"/>
      <c r="Q620" s="7"/>
      <c r="S620" s="7"/>
      <c r="U620" s="7"/>
      <c r="W620" s="7"/>
    </row>
    <row r="621">
      <c r="E621" s="67"/>
      <c r="F621" s="7"/>
      <c r="G621" s="7"/>
      <c r="I621" s="7"/>
      <c r="K621" s="62"/>
      <c r="L621" s="7"/>
      <c r="M621" s="7"/>
      <c r="O621" s="7"/>
      <c r="Q621" s="7"/>
      <c r="S621" s="7"/>
      <c r="U621" s="7"/>
      <c r="W621" s="7"/>
    </row>
    <row r="622">
      <c r="E622" s="67"/>
      <c r="F622" s="7"/>
      <c r="G622" s="7"/>
      <c r="I622" s="7"/>
      <c r="K622" s="62"/>
      <c r="L622" s="7"/>
      <c r="M622" s="7"/>
      <c r="O622" s="7"/>
      <c r="Q622" s="7"/>
      <c r="S622" s="7"/>
      <c r="U622" s="7"/>
      <c r="W622" s="7"/>
    </row>
    <row r="623">
      <c r="E623" s="67"/>
      <c r="F623" s="7"/>
      <c r="G623" s="7"/>
      <c r="I623" s="7"/>
      <c r="K623" s="62"/>
      <c r="L623" s="7"/>
      <c r="M623" s="7"/>
      <c r="O623" s="7"/>
      <c r="Q623" s="7"/>
      <c r="S623" s="7"/>
      <c r="U623" s="7"/>
      <c r="W623" s="7"/>
    </row>
    <row r="624">
      <c r="E624" s="67"/>
      <c r="F624" s="7"/>
      <c r="G624" s="7"/>
      <c r="I624" s="7"/>
      <c r="K624" s="62"/>
      <c r="L624" s="7"/>
      <c r="M624" s="7"/>
      <c r="O624" s="7"/>
      <c r="Q624" s="7"/>
      <c r="S624" s="7"/>
      <c r="U624" s="7"/>
      <c r="W624" s="7"/>
    </row>
    <row r="625">
      <c r="E625" s="67"/>
      <c r="F625" s="7"/>
      <c r="G625" s="7"/>
      <c r="I625" s="7"/>
      <c r="K625" s="62"/>
      <c r="L625" s="7"/>
      <c r="M625" s="7"/>
      <c r="O625" s="7"/>
      <c r="Q625" s="7"/>
      <c r="S625" s="7"/>
      <c r="U625" s="7"/>
      <c r="W625" s="7"/>
    </row>
    <row r="626">
      <c r="E626" s="67"/>
      <c r="F626" s="7"/>
      <c r="G626" s="7"/>
      <c r="I626" s="7"/>
      <c r="K626" s="62"/>
      <c r="L626" s="7"/>
      <c r="M626" s="7"/>
      <c r="O626" s="7"/>
      <c r="Q626" s="7"/>
      <c r="S626" s="7"/>
      <c r="U626" s="7"/>
      <c r="W626" s="7"/>
    </row>
    <row r="627">
      <c r="E627" s="67"/>
      <c r="F627" s="7"/>
      <c r="G627" s="7"/>
      <c r="I627" s="7"/>
      <c r="K627" s="62"/>
      <c r="L627" s="7"/>
      <c r="M627" s="7"/>
      <c r="O627" s="7"/>
      <c r="Q627" s="7"/>
      <c r="S627" s="7"/>
      <c r="U627" s="7"/>
      <c r="W627" s="7"/>
    </row>
    <row r="628">
      <c r="E628" s="67"/>
      <c r="F628" s="7"/>
      <c r="G628" s="7"/>
      <c r="I628" s="7"/>
      <c r="K628" s="62"/>
      <c r="L628" s="7"/>
      <c r="M628" s="7"/>
      <c r="O628" s="7"/>
      <c r="Q628" s="7"/>
      <c r="S628" s="7"/>
      <c r="U628" s="7"/>
      <c r="W628" s="7"/>
    </row>
    <row r="629">
      <c r="E629" s="67"/>
      <c r="F629" s="7"/>
      <c r="G629" s="7"/>
      <c r="I629" s="7"/>
      <c r="K629" s="62"/>
      <c r="L629" s="7"/>
      <c r="M629" s="7"/>
      <c r="O629" s="7"/>
      <c r="Q629" s="7"/>
      <c r="S629" s="7"/>
      <c r="U629" s="7"/>
      <c r="W629" s="7"/>
    </row>
    <row r="630">
      <c r="E630" s="67"/>
      <c r="F630" s="7"/>
      <c r="G630" s="7"/>
      <c r="I630" s="7"/>
      <c r="K630" s="62"/>
      <c r="L630" s="7"/>
      <c r="M630" s="7"/>
      <c r="O630" s="7"/>
      <c r="Q630" s="7"/>
      <c r="S630" s="7"/>
      <c r="U630" s="7"/>
      <c r="W630" s="7"/>
    </row>
    <row r="631">
      <c r="E631" s="67"/>
      <c r="F631" s="7"/>
      <c r="G631" s="7"/>
      <c r="I631" s="7"/>
      <c r="K631" s="62"/>
      <c r="L631" s="7"/>
      <c r="M631" s="7"/>
      <c r="O631" s="7"/>
      <c r="Q631" s="7"/>
      <c r="S631" s="7"/>
      <c r="U631" s="7"/>
      <c r="W631" s="7"/>
    </row>
    <row r="632">
      <c r="E632" s="67"/>
      <c r="F632" s="7"/>
      <c r="G632" s="7"/>
      <c r="I632" s="7"/>
      <c r="K632" s="62"/>
      <c r="L632" s="7"/>
      <c r="M632" s="7"/>
      <c r="O632" s="7"/>
      <c r="Q632" s="7"/>
      <c r="S632" s="7"/>
      <c r="U632" s="7"/>
      <c r="W632" s="7"/>
    </row>
    <row r="633">
      <c r="E633" s="67"/>
      <c r="F633" s="7"/>
      <c r="G633" s="7"/>
      <c r="I633" s="7"/>
      <c r="K633" s="62"/>
      <c r="L633" s="7"/>
      <c r="M633" s="7"/>
      <c r="O633" s="7"/>
      <c r="Q633" s="7"/>
      <c r="S633" s="7"/>
      <c r="U633" s="7"/>
      <c r="W633" s="7"/>
    </row>
    <row r="634">
      <c r="E634" s="67"/>
      <c r="F634" s="7"/>
      <c r="G634" s="7"/>
      <c r="I634" s="7"/>
      <c r="K634" s="62"/>
      <c r="L634" s="7"/>
      <c r="M634" s="7"/>
      <c r="O634" s="7"/>
      <c r="Q634" s="7"/>
      <c r="S634" s="7"/>
      <c r="U634" s="7"/>
      <c r="W634" s="7"/>
    </row>
    <row r="635">
      <c r="E635" s="67"/>
      <c r="F635" s="7"/>
      <c r="G635" s="7"/>
      <c r="I635" s="7"/>
      <c r="K635" s="62"/>
      <c r="L635" s="7"/>
      <c r="M635" s="7"/>
      <c r="O635" s="7"/>
      <c r="Q635" s="7"/>
      <c r="S635" s="7"/>
      <c r="U635" s="7"/>
      <c r="W635" s="7"/>
    </row>
    <row r="636">
      <c r="E636" s="67"/>
      <c r="F636" s="7"/>
      <c r="G636" s="7"/>
      <c r="I636" s="7"/>
      <c r="K636" s="62"/>
      <c r="L636" s="7"/>
      <c r="M636" s="7"/>
      <c r="O636" s="7"/>
      <c r="Q636" s="7"/>
      <c r="S636" s="7"/>
      <c r="U636" s="7"/>
      <c r="W636" s="7"/>
    </row>
    <row r="637">
      <c r="E637" s="67"/>
      <c r="F637" s="7"/>
      <c r="G637" s="7"/>
      <c r="I637" s="7"/>
      <c r="K637" s="62"/>
      <c r="L637" s="7"/>
      <c r="M637" s="7"/>
      <c r="O637" s="7"/>
      <c r="Q637" s="7"/>
      <c r="S637" s="7"/>
      <c r="U637" s="7"/>
      <c r="W637" s="7"/>
    </row>
    <row r="638">
      <c r="E638" s="67"/>
      <c r="F638" s="7"/>
      <c r="G638" s="7"/>
      <c r="I638" s="7"/>
      <c r="K638" s="62"/>
      <c r="L638" s="7"/>
      <c r="M638" s="7"/>
      <c r="O638" s="7"/>
      <c r="Q638" s="7"/>
      <c r="S638" s="7"/>
      <c r="U638" s="7"/>
      <c r="W638" s="7"/>
    </row>
    <row r="639">
      <c r="E639" s="67"/>
      <c r="F639" s="7"/>
      <c r="G639" s="7"/>
      <c r="I639" s="7"/>
      <c r="K639" s="62"/>
      <c r="L639" s="7"/>
      <c r="M639" s="7"/>
      <c r="O639" s="7"/>
      <c r="Q639" s="7"/>
      <c r="S639" s="7"/>
      <c r="U639" s="7"/>
      <c r="W639" s="7"/>
    </row>
    <row r="640">
      <c r="E640" s="67"/>
      <c r="F640" s="7"/>
      <c r="G640" s="7"/>
      <c r="I640" s="7"/>
      <c r="K640" s="62"/>
      <c r="L640" s="7"/>
      <c r="M640" s="7"/>
      <c r="O640" s="7"/>
      <c r="Q640" s="7"/>
      <c r="S640" s="7"/>
      <c r="U640" s="7"/>
      <c r="W640" s="7"/>
    </row>
    <row r="641">
      <c r="E641" s="67"/>
      <c r="F641" s="7"/>
      <c r="G641" s="7"/>
      <c r="I641" s="7"/>
      <c r="K641" s="62"/>
      <c r="L641" s="7"/>
      <c r="M641" s="7"/>
      <c r="O641" s="7"/>
      <c r="Q641" s="7"/>
      <c r="S641" s="7"/>
      <c r="U641" s="7"/>
      <c r="W641" s="7"/>
    </row>
    <row r="642">
      <c r="E642" s="67"/>
      <c r="F642" s="7"/>
      <c r="G642" s="7"/>
      <c r="I642" s="7"/>
      <c r="K642" s="62"/>
      <c r="L642" s="7"/>
      <c r="M642" s="7"/>
      <c r="O642" s="7"/>
      <c r="Q642" s="7"/>
      <c r="S642" s="7"/>
      <c r="U642" s="7"/>
      <c r="W642" s="7"/>
    </row>
    <row r="643">
      <c r="E643" s="67"/>
      <c r="F643" s="7"/>
      <c r="G643" s="7"/>
      <c r="I643" s="7"/>
      <c r="K643" s="62"/>
      <c r="L643" s="7"/>
      <c r="M643" s="7"/>
      <c r="O643" s="7"/>
      <c r="Q643" s="7"/>
      <c r="S643" s="7"/>
      <c r="U643" s="7"/>
      <c r="W643" s="7"/>
    </row>
    <row r="644">
      <c r="E644" s="67"/>
      <c r="F644" s="7"/>
      <c r="G644" s="7"/>
      <c r="I644" s="7"/>
      <c r="K644" s="62"/>
      <c r="L644" s="7"/>
      <c r="M644" s="7"/>
      <c r="O644" s="7"/>
      <c r="Q644" s="7"/>
      <c r="S644" s="7"/>
      <c r="U644" s="7"/>
      <c r="W644" s="7"/>
    </row>
    <row r="645">
      <c r="E645" s="67"/>
      <c r="F645" s="7"/>
      <c r="G645" s="7"/>
      <c r="I645" s="7"/>
      <c r="K645" s="62"/>
      <c r="L645" s="7"/>
      <c r="M645" s="7"/>
      <c r="O645" s="7"/>
      <c r="Q645" s="7"/>
      <c r="S645" s="7"/>
      <c r="U645" s="7"/>
      <c r="W645" s="7"/>
    </row>
    <row r="646">
      <c r="E646" s="67"/>
      <c r="F646" s="7"/>
      <c r="G646" s="7"/>
      <c r="I646" s="7"/>
      <c r="K646" s="62"/>
      <c r="L646" s="7"/>
      <c r="M646" s="7"/>
      <c r="O646" s="7"/>
      <c r="Q646" s="7"/>
      <c r="S646" s="7"/>
      <c r="U646" s="7"/>
      <c r="W646" s="7"/>
    </row>
    <row r="647">
      <c r="E647" s="67"/>
      <c r="F647" s="7"/>
      <c r="G647" s="7"/>
      <c r="I647" s="7"/>
      <c r="K647" s="62"/>
      <c r="L647" s="7"/>
      <c r="M647" s="7"/>
      <c r="O647" s="7"/>
      <c r="Q647" s="7"/>
      <c r="S647" s="7"/>
      <c r="U647" s="7"/>
      <c r="W647" s="7"/>
    </row>
    <row r="648">
      <c r="E648" s="67"/>
      <c r="F648" s="7"/>
      <c r="G648" s="7"/>
      <c r="I648" s="7"/>
      <c r="K648" s="62"/>
      <c r="L648" s="7"/>
      <c r="M648" s="7"/>
      <c r="O648" s="7"/>
      <c r="Q648" s="7"/>
      <c r="S648" s="7"/>
      <c r="U648" s="7"/>
      <c r="W648" s="7"/>
    </row>
    <row r="649">
      <c r="E649" s="67"/>
      <c r="F649" s="7"/>
      <c r="G649" s="7"/>
      <c r="I649" s="7"/>
      <c r="K649" s="62"/>
      <c r="L649" s="7"/>
      <c r="M649" s="7"/>
      <c r="O649" s="7"/>
      <c r="Q649" s="7"/>
      <c r="S649" s="7"/>
      <c r="U649" s="7"/>
      <c r="W649" s="7"/>
    </row>
    <row r="650">
      <c r="E650" s="67"/>
      <c r="F650" s="7"/>
      <c r="G650" s="7"/>
      <c r="I650" s="7"/>
      <c r="K650" s="62"/>
      <c r="L650" s="7"/>
      <c r="M650" s="7"/>
      <c r="O650" s="7"/>
      <c r="Q650" s="7"/>
      <c r="S650" s="7"/>
      <c r="U650" s="7"/>
      <c r="W650" s="7"/>
    </row>
    <row r="651">
      <c r="E651" s="67"/>
      <c r="F651" s="7"/>
      <c r="G651" s="7"/>
      <c r="I651" s="7"/>
      <c r="K651" s="62"/>
      <c r="L651" s="7"/>
      <c r="M651" s="7"/>
      <c r="O651" s="7"/>
      <c r="Q651" s="7"/>
      <c r="S651" s="7"/>
      <c r="U651" s="7"/>
      <c r="W651" s="7"/>
    </row>
    <row r="652">
      <c r="E652" s="67"/>
      <c r="F652" s="7"/>
      <c r="G652" s="7"/>
      <c r="I652" s="7"/>
      <c r="K652" s="62"/>
      <c r="L652" s="7"/>
      <c r="M652" s="7"/>
      <c r="O652" s="7"/>
      <c r="Q652" s="7"/>
      <c r="S652" s="7"/>
      <c r="U652" s="7"/>
      <c r="W652" s="7"/>
    </row>
    <row r="653">
      <c r="E653" s="67"/>
      <c r="F653" s="7"/>
      <c r="G653" s="7"/>
      <c r="I653" s="7"/>
      <c r="K653" s="62"/>
      <c r="L653" s="7"/>
      <c r="M653" s="7"/>
      <c r="O653" s="7"/>
      <c r="Q653" s="7"/>
      <c r="S653" s="7"/>
      <c r="U653" s="7"/>
      <c r="W653" s="7"/>
    </row>
    <row r="654">
      <c r="E654" s="67"/>
      <c r="F654" s="7"/>
      <c r="G654" s="7"/>
      <c r="I654" s="7"/>
      <c r="K654" s="62"/>
      <c r="L654" s="7"/>
      <c r="M654" s="7"/>
      <c r="O654" s="7"/>
      <c r="Q654" s="7"/>
      <c r="S654" s="7"/>
      <c r="U654" s="7"/>
      <c r="W654" s="7"/>
    </row>
    <row r="655">
      <c r="E655" s="67"/>
      <c r="F655" s="7"/>
      <c r="G655" s="7"/>
      <c r="I655" s="7"/>
      <c r="K655" s="62"/>
      <c r="L655" s="7"/>
      <c r="M655" s="7"/>
      <c r="O655" s="7"/>
      <c r="Q655" s="7"/>
      <c r="S655" s="7"/>
      <c r="U655" s="7"/>
      <c r="W655" s="7"/>
    </row>
    <row r="656">
      <c r="E656" s="67"/>
      <c r="F656" s="7"/>
      <c r="G656" s="7"/>
      <c r="I656" s="7"/>
      <c r="K656" s="62"/>
      <c r="L656" s="7"/>
      <c r="M656" s="7"/>
      <c r="O656" s="7"/>
      <c r="Q656" s="7"/>
      <c r="S656" s="7"/>
      <c r="U656" s="7"/>
      <c r="W656" s="7"/>
    </row>
    <row r="657">
      <c r="E657" s="67"/>
      <c r="F657" s="7"/>
      <c r="G657" s="7"/>
      <c r="I657" s="7"/>
      <c r="K657" s="62"/>
      <c r="L657" s="7"/>
      <c r="M657" s="7"/>
      <c r="O657" s="7"/>
      <c r="Q657" s="7"/>
      <c r="S657" s="7"/>
      <c r="U657" s="7"/>
      <c r="W657" s="7"/>
    </row>
    <row r="658">
      <c r="E658" s="67"/>
      <c r="F658" s="7"/>
      <c r="G658" s="7"/>
      <c r="I658" s="7"/>
      <c r="K658" s="62"/>
      <c r="L658" s="7"/>
      <c r="M658" s="7"/>
      <c r="O658" s="7"/>
      <c r="Q658" s="7"/>
      <c r="S658" s="7"/>
      <c r="U658" s="7"/>
      <c r="W658" s="7"/>
    </row>
    <row r="659">
      <c r="E659" s="67"/>
      <c r="F659" s="7"/>
      <c r="G659" s="7"/>
      <c r="I659" s="7"/>
      <c r="K659" s="62"/>
      <c r="L659" s="7"/>
      <c r="M659" s="7"/>
      <c r="O659" s="7"/>
      <c r="Q659" s="7"/>
      <c r="S659" s="7"/>
      <c r="U659" s="7"/>
      <c r="W659" s="7"/>
    </row>
    <row r="660">
      <c r="E660" s="67"/>
      <c r="F660" s="7"/>
      <c r="G660" s="7"/>
      <c r="I660" s="7"/>
      <c r="K660" s="62"/>
      <c r="L660" s="7"/>
      <c r="M660" s="7"/>
      <c r="O660" s="7"/>
      <c r="Q660" s="7"/>
      <c r="S660" s="7"/>
      <c r="U660" s="7"/>
      <c r="W660" s="7"/>
    </row>
    <row r="661">
      <c r="E661" s="67"/>
      <c r="F661" s="7"/>
      <c r="G661" s="7"/>
      <c r="I661" s="7"/>
      <c r="K661" s="62"/>
      <c r="L661" s="7"/>
      <c r="M661" s="7"/>
      <c r="O661" s="7"/>
      <c r="Q661" s="7"/>
      <c r="S661" s="7"/>
      <c r="U661" s="7"/>
      <c r="W661" s="7"/>
    </row>
    <row r="662">
      <c r="E662" s="67"/>
      <c r="F662" s="7"/>
      <c r="G662" s="7"/>
      <c r="I662" s="7"/>
      <c r="K662" s="62"/>
      <c r="L662" s="7"/>
      <c r="M662" s="7"/>
      <c r="O662" s="7"/>
      <c r="Q662" s="7"/>
      <c r="S662" s="7"/>
      <c r="U662" s="7"/>
      <c r="W662" s="7"/>
    </row>
    <row r="663">
      <c r="E663" s="67"/>
      <c r="F663" s="7"/>
      <c r="G663" s="7"/>
      <c r="I663" s="7"/>
      <c r="K663" s="62"/>
      <c r="L663" s="7"/>
      <c r="M663" s="7"/>
      <c r="O663" s="7"/>
      <c r="Q663" s="7"/>
      <c r="S663" s="7"/>
      <c r="U663" s="7"/>
      <c r="W663" s="7"/>
    </row>
    <row r="664">
      <c r="E664" s="67"/>
      <c r="F664" s="7"/>
      <c r="G664" s="7"/>
      <c r="I664" s="7"/>
      <c r="K664" s="62"/>
      <c r="L664" s="7"/>
      <c r="M664" s="7"/>
      <c r="O664" s="7"/>
      <c r="Q664" s="7"/>
      <c r="S664" s="7"/>
      <c r="U664" s="7"/>
      <c r="W664" s="7"/>
    </row>
    <row r="665">
      <c r="E665" s="67"/>
      <c r="F665" s="7"/>
      <c r="G665" s="7"/>
      <c r="I665" s="7"/>
      <c r="K665" s="62"/>
      <c r="L665" s="7"/>
      <c r="M665" s="7"/>
      <c r="O665" s="7"/>
      <c r="Q665" s="7"/>
      <c r="S665" s="7"/>
      <c r="U665" s="7"/>
      <c r="W665" s="7"/>
    </row>
    <row r="666">
      <c r="E666" s="67"/>
      <c r="F666" s="7"/>
      <c r="G666" s="7"/>
      <c r="I666" s="7"/>
      <c r="K666" s="62"/>
      <c r="L666" s="7"/>
      <c r="M666" s="7"/>
      <c r="O666" s="7"/>
      <c r="Q666" s="7"/>
      <c r="S666" s="7"/>
      <c r="U666" s="7"/>
      <c r="W666" s="7"/>
    </row>
    <row r="667">
      <c r="E667" s="67"/>
      <c r="F667" s="7"/>
      <c r="G667" s="7"/>
      <c r="I667" s="7"/>
      <c r="K667" s="62"/>
      <c r="L667" s="7"/>
      <c r="M667" s="7"/>
      <c r="O667" s="7"/>
      <c r="Q667" s="7"/>
      <c r="S667" s="7"/>
      <c r="U667" s="7"/>
      <c r="W667" s="7"/>
    </row>
    <row r="668">
      <c r="E668" s="67"/>
      <c r="F668" s="7"/>
      <c r="G668" s="7"/>
      <c r="I668" s="7"/>
      <c r="K668" s="62"/>
      <c r="L668" s="7"/>
      <c r="M668" s="7"/>
      <c r="O668" s="7"/>
      <c r="Q668" s="7"/>
      <c r="S668" s="7"/>
      <c r="U668" s="7"/>
      <c r="W668" s="7"/>
    </row>
    <row r="669">
      <c r="E669" s="67"/>
      <c r="F669" s="7"/>
      <c r="G669" s="7"/>
      <c r="I669" s="7"/>
      <c r="K669" s="62"/>
      <c r="L669" s="7"/>
      <c r="M669" s="7"/>
      <c r="O669" s="7"/>
      <c r="Q669" s="7"/>
      <c r="S669" s="7"/>
      <c r="U669" s="7"/>
      <c r="W669" s="7"/>
    </row>
    <row r="670">
      <c r="E670" s="67"/>
      <c r="F670" s="7"/>
      <c r="G670" s="7"/>
      <c r="I670" s="7"/>
      <c r="K670" s="62"/>
      <c r="L670" s="7"/>
      <c r="M670" s="7"/>
      <c r="O670" s="7"/>
      <c r="Q670" s="7"/>
      <c r="S670" s="7"/>
      <c r="U670" s="7"/>
      <c r="W670" s="7"/>
    </row>
    <row r="671">
      <c r="E671" s="67"/>
      <c r="F671" s="7"/>
      <c r="G671" s="7"/>
      <c r="I671" s="7"/>
      <c r="K671" s="62"/>
      <c r="L671" s="7"/>
      <c r="M671" s="7"/>
      <c r="O671" s="7"/>
      <c r="Q671" s="7"/>
      <c r="S671" s="7"/>
      <c r="U671" s="7"/>
      <c r="W671" s="7"/>
    </row>
    <row r="672">
      <c r="E672" s="67"/>
      <c r="F672" s="7"/>
      <c r="G672" s="7"/>
      <c r="I672" s="7"/>
      <c r="K672" s="62"/>
      <c r="L672" s="7"/>
      <c r="M672" s="7"/>
      <c r="O672" s="7"/>
      <c r="Q672" s="7"/>
      <c r="S672" s="7"/>
      <c r="U672" s="7"/>
      <c r="W672" s="7"/>
    </row>
    <row r="673">
      <c r="E673" s="67"/>
      <c r="F673" s="7"/>
      <c r="G673" s="7"/>
      <c r="I673" s="7"/>
      <c r="K673" s="62"/>
      <c r="L673" s="7"/>
      <c r="M673" s="7"/>
      <c r="O673" s="7"/>
      <c r="Q673" s="7"/>
      <c r="S673" s="7"/>
      <c r="U673" s="7"/>
      <c r="W673" s="7"/>
    </row>
    <row r="674">
      <c r="E674" s="67"/>
      <c r="F674" s="7"/>
      <c r="G674" s="7"/>
      <c r="I674" s="7"/>
      <c r="K674" s="62"/>
      <c r="L674" s="7"/>
      <c r="M674" s="7"/>
      <c r="O674" s="7"/>
      <c r="Q674" s="7"/>
      <c r="S674" s="7"/>
      <c r="U674" s="7"/>
      <c r="W674" s="7"/>
    </row>
    <row r="675">
      <c r="E675" s="67"/>
      <c r="F675" s="7"/>
      <c r="G675" s="7"/>
      <c r="I675" s="7"/>
      <c r="K675" s="62"/>
      <c r="L675" s="7"/>
      <c r="M675" s="7"/>
      <c r="O675" s="7"/>
      <c r="Q675" s="7"/>
      <c r="S675" s="7"/>
      <c r="U675" s="7"/>
      <c r="W675" s="7"/>
    </row>
    <row r="676">
      <c r="E676" s="67"/>
      <c r="F676" s="7"/>
      <c r="G676" s="7"/>
      <c r="I676" s="7"/>
      <c r="K676" s="62"/>
      <c r="L676" s="7"/>
      <c r="M676" s="7"/>
      <c r="O676" s="7"/>
      <c r="Q676" s="7"/>
      <c r="S676" s="7"/>
      <c r="U676" s="7"/>
      <c r="W676" s="7"/>
    </row>
    <row r="677">
      <c r="E677" s="67"/>
      <c r="F677" s="7"/>
      <c r="G677" s="7"/>
      <c r="I677" s="7"/>
      <c r="K677" s="62"/>
      <c r="L677" s="7"/>
      <c r="M677" s="7"/>
      <c r="O677" s="7"/>
      <c r="Q677" s="7"/>
      <c r="S677" s="7"/>
      <c r="U677" s="7"/>
      <c r="W677" s="7"/>
    </row>
    <row r="678">
      <c r="E678" s="67"/>
      <c r="F678" s="7"/>
      <c r="G678" s="7"/>
      <c r="I678" s="7"/>
      <c r="K678" s="62"/>
      <c r="L678" s="7"/>
      <c r="M678" s="7"/>
      <c r="O678" s="7"/>
      <c r="Q678" s="7"/>
      <c r="S678" s="7"/>
      <c r="U678" s="7"/>
      <c r="W678" s="7"/>
    </row>
    <row r="679">
      <c r="E679" s="67"/>
      <c r="F679" s="7"/>
      <c r="G679" s="7"/>
      <c r="I679" s="7"/>
      <c r="K679" s="62"/>
      <c r="L679" s="7"/>
      <c r="M679" s="7"/>
      <c r="O679" s="7"/>
      <c r="Q679" s="7"/>
      <c r="S679" s="7"/>
      <c r="U679" s="7"/>
      <c r="W679" s="7"/>
    </row>
    <row r="680">
      <c r="E680" s="67"/>
      <c r="F680" s="7"/>
      <c r="G680" s="7"/>
      <c r="I680" s="7"/>
      <c r="K680" s="62"/>
      <c r="L680" s="7"/>
      <c r="M680" s="7"/>
      <c r="O680" s="7"/>
      <c r="Q680" s="7"/>
      <c r="S680" s="7"/>
      <c r="U680" s="7"/>
      <c r="W680" s="7"/>
    </row>
    <row r="681">
      <c r="E681" s="67"/>
      <c r="F681" s="7"/>
      <c r="G681" s="7"/>
      <c r="I681" s="7"/>
      <c r="K681" s="62"/>
      <c r="L681" s="7"/>
      <c r="M681" s="7"/>
      <c r="O681" s="7"/>
      <c r="Q681" s="7"/>
      <c r="S681" s="7"/>
      <c r="U681" s="7"/>
      <c r="W681" s="7"/>
    </row>
    <row r="682">
      <c r="E682" s="67"/>
      <c r="F682" s="7"/>
      <c r="G682" s="7"/>
      <c r="I682" s="7"/>
      <c r="K682" s="62"/>
      <c r="L682" s="7"/>
      <c r="M682" s="7"/>
      <c r="O682" s="7"/>
      <c r="Q682" s="7"/>
      <c r="S682" s="7"/>
      <c r="U682" s="7"/>
      <c r="W682" s="7"/>
    </row>
    <row r="683">
      <c r="E683" s="67"/>
      <c r="F683" s="7"/>
      <c r="G683" s="7"/>
      <c r="I683" s="7"/>
      <c r="K683" s="62"/>
      <c r="L683" s="7"/>
      <c r="M683" s="7"/>
      <c r="O683" s="7"/>
      <c r="Q683" s="7"/>
      <c r="S683" s="7"/>
      <c r="U683" s="7"/>
      <c r="W683" s="7"/>
    </row>
    <row r="684">
      <c r="E684" s="67"/>
      <c r="F684" s="7"/>
      <c r="G684" s="7"/>
      <c r="I684" s="7"/>
      <c r="K684" s="62"/>
      <c r="L684" s="7"/>
      <c r="M684" s="7"/>
      <c r="O684" s="7"/>
      <c r="Q684" s="7"/>
      <c r="S684" s="7"/>
      <c r="U684" s="7"/>
      <c r="W684" s="7"/>
    </row>
    <row r="685">
      <c r="E685" s="67"/>
      <c r="F685" s="7"/>
      <c r="G685" s="7"/>
      <c r="I685" s="7"/>
      <c r="K685" s="62"/>
      <c r="L685" s="7"/>
      <c r="M685" s="7"/>
      <c r="O685" s="7"/>
      <c r="Q685" s="7"/>
      <c r="S685" s="7"/>
      <c r="U685" s="7"/>
      <c r="W685" s="7"/>
    </row>
    <row r="686">
      <c r="E686" s="67"/>
      <c r="F686" s="7"/>
      <c r="G686" s="7"/>
      <c r="I686" s="7"/>
      <c r="K686" s="62"/>
      <c r="L686" s="7"/>
      <c r="M686" s="7"/>
      <c r="O686" s="7"/>
      <c r="Q686" s="7"/>
      <c r="S686" s="7"/>
      <c r="U686" s="7"/>
      <c r="W686" s="7"/>
    </row>
    <row r="687">
      <c r="E687" s="67"/>
      <c r="F687" s="7"/>
      <c r="G687" s="7"/>
      <c r="I687" s="7"/>
      <c r="K687" s="62"/>
      <c r="L687" s="7"/>
      <c r="M687" s="7"/>
      <c r="O687" s="7"/>
      <c r="Q687" s="7"/>
      <c r="S687" s="7"/>
      <c r="U687" s="7"/>
      <c r="W687" s="7"/>
    </row>
    <row r="688">
      <c r="E688" s="67"/>
      <c r="F688" s="7"/>
      <c r="G688" s="7"/>
      <c r="I688" s="7"/>
      <c r="K688" s="62"/>
      <c r="L688" s="7"/>
      <c r="M688" s="7"/>
      <c r="O688" s="7"/>
      <c r="Q688" s="7"/>
      <c r="S688" s="7"/>
      <c r="U688" s="7"/>
      <c r="W688" s="7"/>
    </row>
    <row r="689">
      <c r="E689" s="67"/>
      <c r="F689" s="7"/>
      <c r="G689" s="7"/>
      <c r="I689" s="7"/>
      <c r="K689" s="62"/>
      <c r="L689" s="7"/>
      <c r="M689" s="7"/>
      <c r="O689" s="7"/>
      <c r="Q689" s="7"/>
      <c r="S689" s="7"/>
      <c r="U689" s="7"/>
      <c r="W689" s="7"/>
    </row>
    <row r="690">
      <c r="E690" s="67"/>
      <c r="F690" s="7"/>
      <c r="G690" s="7"/>
      <c r="I690" s="7"/>
      <c r="K690" s="62"/>
      <c r="L690" s="7"/>
      <c r="M690" s="7"/>
      <c r="O690" s="7"/>
      <c r="Q690" s="7"/>
      <c r="S690" s="7"/>
      <c r="U690" s="7"/>
      <c r="W690" s="7"/>
    </row>
    <row r="691">
      <c r="E691" s="67"/>
      <c r="F691" s="7"/>
      <c r="G691" s="7"/>
      <c r="I691" s="7"/>
      <c r="K691" s="62"/>
      <c r="L691" s="7"/>
      <c r="M691" s="7"/>
      <c r="O691" s="7"/>
      <c r="Q691" s="7"/>
      <c r="S691" s="7"/>
      <c r="U691" s="7"/>
      <c r="W691" s="7"/>
    </row>
    <row r="692">
      <c r="E692" s="67"/>
      <c r="F692" s="7"/>
      <c r="G692" s="7"/>
      <c r="I692" s="7"/>
      <c r="K692" s="62"/>
      <c r="L692" s="7"/>
      <c r="M692" s="7"/>
      <c r="O692" s="7"/>
      <c r="Q692" s="7"/>
      <c r="S692" s="7"/>
      <c r="U692" s="7"/>
      <c r="W692" s="7"/>
    </row>
    <row r="693">
      <c r="E693" s="67"/>
      <c r="F693" s="7"/>
      <c r="G693" s="7"/>
      <c r="I693" s="7"/>
      <c r="K693" s="62"/>
      <c r="L693" s="7"/>
      <c r="M693" s="7"/>
      <c r="O693" s="7"/>
      <c r="Q693" s="7"/>
      <c r="S693" s="7"/>
      <c r="U693" s="7"/>
      <c r="W693" s="7"/>
    </row>
    <row r="694">
      <c r="E694" s="67"/>
      <c r="F694" s="7"/>
      <c r="G694" s="7"/>
      <c r="I694" s="7"/>
      <c r="K694" s="62"/>
      <c r="L694" s="7"/>
      <c r="M694" s="7"/>
      <c r="O694" s="7"/>
      <c r="Q694" s="7"/>
      <c r="S694" s="7"/>
      <c r="U694" s="7"/>
      <c r="W694" s="7"/>
    </row>
    <row r="695">
      <c r="E695" s="67"/>
      <c r="F695" s="7"/>
      <c r="G695" s="7"/>
      <c r="I695" s="7"/>
      <c r="K695" s="62"/>
      <c r="L695" s="7"/>
      <c r="M695" s="7"/>
      <c r="O695" s="7"/>
      <c r="Q695" s="7"/>
      <c r="S695" s="7"/>
      <c r="U695" s="7"/>
      <c r="W695" s="7"/>
    </row>
    <row r="696">
      <c r="E696" s="67"/>
      <c r="F696" s="7"/>
      <c r="G696" s="7"/>
      <c r="I696" s="7"/>
      <c r="K696" s="62"/>
      <c r="L696" s="7"/>
      <c r="M696" s="7"/>
      <c r="O696" s="7"/>
      <c r="Q696" s="7"/>
      <c r="S696" s="7"/>
      <c r="U696" s="7"/>
      <c r="W696" s="7"/>
    </row>
    <row r="697">
      <c r="E697" s="67"/>
      <c r="F697" s="7"/>
      <c r="G697" s="7"/>
      <c r="I697" s="7"/>
      <c r="K697" s="62"/>
      <c r="L697" s="7"/>
      <c r="M697" s="7"/>
      <c r="O697" s="7"/>
      <c r="Q697" s="7"/>
      <c r="S697" s="7"/>
      <c r="U697" s="7"/>
      <c r="W697" s="7"/>
    </row>
    <row r="698">
      <c r="E698" s="67"/>
      <c r="F698" s="7"/>
      <c r="G698" s="7"/>
      <c r="I698" s="7"/>
      <c r="K698" s="62"/>
      <c r="L698" s="7"/>
      <c r="M698" s="7"/>
      <c r="O698" s="7"/>
      <c r="Q698" s="7"/>
      <c r="S698" s="7"/>
      <c r="U698" s="7"/>
      <c r="W698" s="7"/>
    </row>
    <row r="699">
      <c r="E699" s="67"/>
      <c r="F699" s="7"/>
      <c r="G699" s="7"/>
      <c r="I699" s="7"/>
      <c r="K699" s="62"/>
      <c r="L699" s="7"/>
      <c r="M699" s="7"/>
      <c r="O699" s="7"/>
      <c r="Q699" s="7"/>
      <c r="S699" s="7"/>
      <c r="U699" s="7"/>
      <c r="W699" s="7"/>
    </row>
    <row r="700">
      <c r="E700" s="67"/>
      <c r="F700" s="7"/>
      <c r="G700" s="7"/>
      <c r="I700" s="7"/>
      <c r="K700" s="62"/>
      <c r="L700" s="7"/>
      <c r="M700" s="7"/>
      <c r="O700" s="7"/>
      <c r="Q700" s="7"/>
      <c r="S700" s="7"/>
      <c r="U700" s="7"/>
      <c r="W700" s="7"/>
    </row>
    <row r="701">
      <c r="E701" s="67"/>
      <c r="F701" s="7"/>
      <c r="G701" s="7"/>
      <c r="I701" s="7"/>
      <c r="K701" s="62"/>
      <c r="L701" s="7"/>
      <c r="M701" s="7"/>
      <c r="O701" s="7"/>
      <c r="Q701" s="7"/>
      <c r="S701" s="7"/>
      <c r="U701" s="7"/>
      <c r="W701" s="7"/>
    </row>
    <row r="702">
      <c r="E702" s="67"/>
      <c r="F702" s="7"/>
      <c r="G702" s="7"/>
      <c r="I702" s="7"/>
      <c r="K702" s="62"/>
      <c r="L702" s="7"/>
      <c r="M702" s="7"/>
      <c r="O702" s="7"/>
      <c r="Q702" s="7"/>
      <c r="S702" s="7"/>
      <c r="U702" s="7"/>
      <c r="W702" s="7"/>
    </row>
    <row r="703">
      <c r="E703" s="67"/>
      <c r="F703" s="7"/>
      <c r="G703" s="7"/>
      <c r="I703" s="7"/>
      <c r="K703" s="62"/>
      <c r="L703" s="7"/>
      <c r="M703" s="7"/>
      <c r="O703" s="7"/>
      <c r="Q703" s="7"/>
      <c r="S703" s="7"/>
      <c r="U703" s="7"/>
      <c r="W703" s="7"/>
    </row>
    <row r="704">
      <c r="E704" s="67"/>
      <c r="F704" s="7"/>
      <c r="G704" s="7"/>
      <c r="I704" s="7"/>
      <c r="K704" s="62"/>
      <c r="L704" s="7"/>
      <c r="M704" s="7"/>
      <c r="O704" s="7"/>
      <c r="Q704" s="7"/>
      <c r="S704" s="7"/>
      <c r="U704" s="7"/>
      <c r="W704" s="7"/>
    </row>
    <row r="705">
      <c r="E705" s="67"/>
      <c r="F705" s="7"/>
      <c r="G705" s="7"/>
      <c r="I705" s="7"/>
      <c r="K705" s="62"/>
      <c r="L705" s="7"/>
      <c r="M705" s="7"/>
      <c r="O705" s="7"/>
      <c r="Q705" s="7"/>
      <c r="S705" s="7"/>
      <c r="U705" s="7"/>
      <c r="W705" s="7"/>
    </row>
    <row r="706">
      <c r="E706" s="67"/>
      <c r="F706" s="7"/>
      <c r="G706" s="7"/>
      <c r="I706" s="7"/>
      <c r="K706" s="62"/>
      <c r="L706" s="7"/>
      <c r="M706" s="7"/>
      <c r="O706" s="7"/>
      <c r="Q706" s="7"/>
      <c r="S706" s="7"/>
      <c r="U706" s="7"/>
      <c r="W706" s="7"/>
    </row>
    <row r="707">
      <c r="E707" s="67"/>
      <c r="F707" s="7"/>
      <c r="G707" s="7"/>
      <c r="I707" s="7"/>
      <c r="K707" s="62"/>
      <c r="L707" s="7"/>
      <c r="M707" s="7"/>
      <c r="O707" s="7"/>
      <c r="Q707" s="7"/>
      <c r="S707" s="7"/>
      <c r="U707" s="7"/>
      <c r="W707" s="7"/>
    </row>
    <row r="708">
      <c r="E708" s="67"/>
      <c r="F708" s="7"/>
      <c r="G708" s="7"/>
      <c r="I708" s="7"/>
      <c r="K708" s="62"/>
      <c r="L708" s="7"/>
      <c r="M708" s="7"/>
      <c r="O708" s="7"/>
      <c r="Q708" s="7"/>
      <c r="S708" s="7"/>
      <c r="U708" s="7"/>
      <c r="W708" s="7"/>
    </row>
    <row r="709">
      <c r="E709" s="67"/>
      <c r="F709" s="7"/>
      <c r="G709" s="7"/>
      <c r="I709" s="7"/>
      <c r="K709" s="62"/>
      <c r="L709" s="7"/>
      <c r="M709" s="7"/>
      <c r="O709" s="7"/>
      <c r="Q709" s="7"/>
      <c r="S709" s="7"/>
      <c r="U709" s="7"/>
      <c r="W709" s="7"/>
    </row>
    <row r="710">
      <c r="E710" s="67"/>
      <c r="F710" s="7"/>
      <c r="G710" s="7"/>
      <c r="I710" s="7"/>
      <c r="K710" s="62"/>
      <c r="L710" s="7"/>
      <c r="M710" s="7"/>
      <c r="O710" s="7"/>
      <c r="Q710" s="7"/>
      <c r="S710" s="7"/>
      <c r="U710" s="7"/>
      <c r="W710" s="7"/>
    </row>
    <row r="711">
      <c r="E711" s="67"/>
      <c r="F711" s="7"/>
      <c r="G711" s="7"/>
      <c r="I711" s="7"/>
      <c r="K711" s="62"/>
      <c r="L711" s="7"/>
      <c r="M711" s="7"/>
      <c r="O711" s="7"/>
      <c r="Q711" s="7"/>
      <c r="S711" s="7"/>
      <c r="U711" s="7"/>
      <c r="W711" s="7"/>
    </row>
    <row r="712">
      <c r="E712" s="67"/>
      <c r="F712" s="7"/>
      <c r="G712" s="7"/>
      <c r="I712" s="7"/>
      <c r="K712" s="62"/>
      <c r="L712" s="7"/>
      <c r="M712" s="7"/>
      <c r="O712" s="7"/>
      <c r="Q712" s="7"/>
      <c r="S712" s="7"/>
      <c r="U712" s="7"/>
      <c r="W712" s="7"/>
    </row>
    <row r="713">
      <c r="E713" s="67"/>
      <c r="F713" s="7"/>
      <c r="G713" s="7"/>
      <c r="I713" s="7"/>
      <c r="K713" s="62"/>
      <c r="L713" s="7"/>
      <c r="M713" s="7"/>
      <c r="O713" s="7"/>
      <c r="Q713" s="7"/>
      <c r="S713" s="7"/>
      <c r="U713" s="7"/>
      <c r="W713" s="7"/>
    </row>
    <row r="714">
      <c r="E714" s="67"/>
      <c r="F714" s="7"/>
      <c r="G714" s="7"/>
      <c r="I714" s="7"/>
      <c r="K714" s="62"/>
      <c r="L714" s="7"/>
      <c r="M714" s="7"/>
      <c r="O714" s="7"/>
      <c r="Q714" s="7"/>
      <c r="S714" s="7"/>
      <c r="U714" s="7"/>
      <c r="W714" s="7"/>
    </row>
    <row r="715">
      <c r="E715" s="67"/>
      <c r="F715" s="7"/>
      <c r="G715" s="7"/>
      <c r="I715" s="7"/>
      <c r="K715" s="62"/>
      <c r="L715" s="7"/>
      <c r="M715" s="7"/>
      <c r="O715" s="7"/>
      <c r="Q715" s="7"/>
      <c r="S715" s="7"/>
      <c r="U715" s="7"/>
      <c r="W715" s="7"/>
    </row>
    <row r="716">
      <c r="E716" s="67"/>
      <c r="F716" s="7"/>
      <c r="G716" s="7"/>
      <c r="I716" s="7"/>
      <c r="K716" s="62"/>
      <c r="L716" s="7"/>
      <c r="M716" s="7"/>
      <c r="O716" s="7"/>
      <c r="Q716" s="7"/>
      <c r="S716" s="7"/>
      <c r="U716" s="7"/>
      <c r="W716" s="7"/>
    </row>
    <row r="717">
      <c r="E717" s="67"/>
      <c r="F717" s="7"/>
      <c r="G717" s="7"/>
      <c r="I717" s="7"/>
      <c r="K717" s="62"/>
      <c r="L717" s="7"/>
      <c r="M717" s="7"/>
      <c r="O717" s="7"/>
      <c r="Q717" s="7"/>
      <c r="S717" s="7"/>
      <c r="U717" s="7"/>
      <c r="W717" s="7"/>
    </row>
    <row r="718">
      <c r="E718" s="67"/>
      <c r="F718" s="7"/>
      <c r="G718" s="7"/>
      <c r="I718" s="7"/>
      <c r="K718" s="62"/>
      <c r="L718" s="7"/>
      <c r="M718" s="7"/>
      <c r="O718" s="7"/>
      <c r="Q718" s="7"/>
      <c r="S718" s="7"/>
      <c r="U718" s="7"/>
      <c r="W718" s="7"/>
    </row>
    <row r="719">
      <c r="E719" s="67"/>
      <c r="F719" s="7"/>
      <c r="G719" s="7"/>
      <c r="I719" s="7"/>
      <c r="K719" s="62"/>
      <c r="L719" s="7"/>
      <c r="M719" s="7"/>
      <c r="O719" s="7"/>
      <c r="Q719" s="7"/>
      <c r="S719" s="7"/>
      <c r="U719" s="7"/>
      <c r="W719" s="7"/>
    </row>
    <row r="720">
      <c r="E720" s="67"/>
      <c r="F720" s="7"/>
      <c r="G720" s="7"/>
      <c r="I720" s="7"/>
      <c r="K720" s="62"/>
      <c r="L720" s="7"/>
      <c r="M720" s="7"/>
      <c r="O720" s="7"/>
      <c r="Q720" s="7"/>
      <c r="S720" s="7"/>
      <c r="U720" s="7"/>
      <c r="W720" s="7"/>
    </row>
    <row r="721">
      <c r="E721" s="67"/>
      <c r="F721" s="7"/>
      <c r="G721" s="7"/>
      <c r="I721" s="7"/>
      <c r="K721" s="62"/>
      <c r="L721" s="7"/>
      <c r="M721" s="7"/>
      <c r="O721" s="7"/>
      <c r="Q721" s="7"/>
      <c r="S721" s="7"/>
      <c r="U721" s="7"/>
      <c r="W721" s="7"/>
    </row>
    <row r="722">
      <c r="E722" s="67"/>
      <c r="F722" s="7"/>
      <c r="G722" s="7"/>
      <c r="I722" s="7"/>
      <c r="K722" s="62"/>
      <c r="L722" s="7"/>
      <c r="M722" s="7"/>
      <c r="O722" s="7"/>
      <c r="Q722" s="7"/>
      <c r="S722" s="7"/>
      <c r="U722" s="7"/>
      <c r="W722" s="7"/>
    </row>
    <row r="723">
      <c r="E723" s="67"/>
      <c r="F723" s="7"/>
      <c r="G723" s="7"/>
      <c r="I723" s="7"/>
      <c r="K723" s="62"/>
      <c r="L723" s="7"/>
      <c r="M723" s="7"/>
      <c r="O723" s="7"/>
      <c r="Q723" s="7"/>
      <c r="S723" s="7"/>
      <c r="U723" s="7"/>
      <c r="W723" s="7"/>
    </row>
    <row r="724">
      <c r="E724" s="67"/>
      <c r="F724" s="7"/>
      <c r="G724" s="7"/>
      <c r="I724" s="7"/>
      <c r="K724" s="62"/>
      <c r="L724" s="7"/>
      <c r="M724" s="7"/>
      <c r="O724" s="7"/>
      <c r="Q724" s="7"/>
      <c r="S724" s="7"/>
      <c r="U724" s="7"/>
      <c r="W724" s="7"/>
    </row>
    <row r="725">
      <c r="E725" s="67"/>
      <c r="F725" s="7"/>
      <c r="G725" s="7"/>
      <c r="I725" s="7"/>
      <c r="K725" s="62"/>
      <c r="L725" s="7"/>
      <c r="M725" s="7"/>
      <c r="O725" s="7"/>
      <c r="Q725" s="7"/>
      <c r="S725" s="7"/>
      <c r="U725" s="7"/>
      <c r="W725" s="7"/>
    </row>
    <row r="726">
      <c r="E726" s="67"/>
      <c r="F726" s="7"/>
      <c r="G726" s="7"/>
      <c r="I726" s="7"/>
      <c r="K726" s="62"/>
      <c r="L726" s="7"/>
      <c r="M726" s="7"/>
      <c r="O726" s="7"/>
      <c r="Q726" s="7"/>
      <c r="S726" s="7"/>
      <c r="U726" s="7"/>
      <c r="W726" s="7"/>
    </row>
    <row r="727">
      <c r="E727" s="67"/>
      <c r="F727" s="7"/>
      <c r="G727" s="7"/>
      <c r="I727" s="7"/>
      <c r="K727" s="62"/>
      <c r="L727" s="7"/>
      <c r="M727" s="7"/>
      <c r="O727" s="7"/>
      <c r="Q727" s="7"/>
      <c r="S727" s="7"/>
      <c r="U727" s="7"/>
      <c r="W727" s="7"/>
    </row>
    <row r="728">
      <c r="E728" s="67"/>
      <c r="F728" s="7"/>
      <c r="G728" s="7"/>
      <c r="I728" s="7"/>
      <c r="K728" s="62"/>
      <c r="L728" s="7"/>
      <c r="M728" s="7"/>
      <c r="O728" s="7"/>
      <c r="Q728" s="7"/>
      <c r="S728" s="7"/>
      <c r="U728" s="7"/>
      <c r="W728" s="7"/>
    </row>
    <row r="729">
      <c r="E729" s="67"/>
      <c r="F729" s="7"/>
      <c r="G729" s="7"/>
      <c r="I729" s="7"/>
      <c r="K729" s="62"/>
      <c r="L729" s="7"/>
      <c r="M729" s="7"/>
      <c r="O729" s="7"/>
      <c r="Q729" s="7"/>
      <c r="S729" s="7"/>
      <c r="U729" s="7"/>
      <c r="W729" s="7"/>
    </row>
    <row r="730">
      <c r="E730" s="67"/>
      <c r="F730" s="7"/>
      <c r="G730" s="7"/>
      <c r="I730" s="7"/>
      <c r="K730" s="62"/>
      <c r="L730" s="7"/>
      <c r="M730" s="7"/>
      <c r="O730" s="7"/>
      <c r="Q730" s="7"/>
      <c r="S730" s="7"/>
      <c r="U730" s="7"/>
      <c r="W730" s="7"/>
    </row>
    <row r="731">
      <c r="E731" s="67"/>
      <c r="F731" s="7"/>
      <c r="G731" s="7"/>
      <c r="I731" s="7"/>
      <c r="K731" s="62"/>
      <c r="L731" s="7"/>
      <c r="M731" s="7"/>
      <c r="O731" s="7"/>
      <c r="Q731" s="7"/>
      <c r="S731" s="7"/>
      <c r="U731" s="7"/>
      <c r="W731" s="7"/>
    </row>
    <row r="732">
      <c r="E732" s="67"/>
      <c r="F732" s="7"/>
      <c r="G732" s="7"/>
      <c r="I732" s="7"/>
      <c r="K732" s="62"/>
      <c r="L732" s="7"/>
      <c r="M732" s="7"/>
      <c r="O732" s="7"/>
      <c r="Q732" s="7"/>
      <c r="S732" s="7"/>
      <c r="U732" s="7"/>
      <c r="W732" s="7"/>
    </row>
    <row r="733">
      <c r="E733" s="67"/>
      <c r="F733" s="7"/>
      <c r="G733" s="7"/>
      <c r="I733" s="7"/>
      <c r="K733" s="62"/>
      <c r="L733" s="7"/>
      <c r="M733" s="7"/>
      <c r="O733" s="7"/>
      <c r="Q733" s="7"/>
      <c r="S733" s="7"/>
      <c r="U733" s="7"/>
      <c r="W733" s="7"/>
    </row>
    <row r="734">
      <c r="E734" s="67"/>
      <c r="F734" s="7"/>
      <c r="G734" s="7"/>
      <c r="I734" s="7"/>
      <c r="K734" s="62"/>
      <c r="L734" s="7"/>
      <c r="M734" s="7"/>
      <c r="O734" s="7"/>
      <c r="Q734" s="7"/>
      <c r="S734" s="7"/>
      <c r="U734" s="7"/>
      <c r="W734" s="7"/>
    </row>
    <row r="735">
      <c r="E735" s="67"/>
      <c r="F735" s="7"/>
      <c r="G735" s="7"/>
      <c r="I735" s="7"/>
      <c r="K735" s="62"/>
      <c r="L735" s="7"/>
      <c r="M735" s="7"/>
      <c r="O735" s="7"/>
      <c r="Q735" s="7"/>
      <c r="S735" s="7"/>
      <c r="U735" s="7"/>
      <c r="W735" s="7"/>
    </row>
    <row r="736">
      <c r="E736" s="67"/>
      <c r="F736" s="7"/>
      <c r="G736" s="7"/>
      <c r="I736" s="7"/>
      <c r="K736" s="62"/>
      <c r="L736" s="7"/>
      <c r="M736" s="7"/>
      <c r="O736" s="7"/>
      <c r="Q736" s="7"/>
      <c r="S736" s="7"/>
      <c r="U736" s="7"/>
      <c r="W736" s="7"/>
    </row>
    <row r="737">
      <c r="E737" s="67"/>
      <c r="F737" s="7"/>
      <c r="G737" s="7"/>
      <c r="I737" s="7"/>
      <c r="K737" s="62"/>
      <c r="L737" s="7"/>
      <c r="M737" s="7"/>
      <c r="O737" s="7"/>
      <c r="Q737" s="7"/>
      <c r="S737" s="7"/>
      <c r="U737" s="7"/>
      <c r="W737" s="7"/>
    </row>
    <row r="738">
      <c r="E738" s="67"/>
      <c r="F738" s="7"/>
      <c r="G738" s="7"/>
      <c r="I738" s="7"/>
      <c r="K738" s="62"/>
      <c r="L738" s="7"/>
      <c r="M738" s="7"/>
      <c r="O738" s="7"/>
      <c r="Q738" s="7"/>
      <c r="S738" s="7"/>
      <c r="U738" s="7"/>
      <c r="W738" s="7"/>
    </row>
    <row r="739">
      <c r="E739" s="67"/>
      <c r="F739" s="7"/>
      <c r="G739" s="7"/>
      <c r="I739" s="7"/>
      <c r="K739" s="62"/>
      <c r="L739" s="7"/>
      <c r="M739" s="7"/>
      <c r="O739" s="7"/>
      <c r="Q739" s="7"/>
      <c r="S739" s="7"/>
      <c r="U739" s="7"/>
      <c r="W739" s="7"/>
    </row>
    <row r="740">
      <c r="E740" s="67"/>
      <c r="F740" s="7"/>
      <c r="G740" s="7"/>
      <c r="I740" s="7"/>
      <c r="K740" s="62"/>
      <c r="L740" s="7"/>
      <c r="M740" s="7"/>
      <c r="O740" s="7"/>
      <c r="Q740" s="7"/>
      <c r="S740" s="7"/>
      <c r="U740" s="7"/>
      <c r="W740" s="7"/>
    </row>
    <row r="741">
      <c r="E741" s="67"/>
      <c r="F741" s="7"/>
      <c r="G741" s="7"/>
      <c r="I741" s="7"/>
      <c r="K741" s="62"/>
      <c r="L741" s="7"/>
      <c r="M741" s="7"/>
      <c r="O741" s="7"/>
      <c r="Q741" s="7"/>
      <c r="S741" s="7"/>
      <c r="U741" s="7"/>
      <c r="W741" s="7"/>
    </row>
    <row r="742">
      <c r="E742" s="67"/>
      <c r="F742" s="7"/>
      <c r="G742" s="7"/>
      <c r="I742" s="7"/>
      <c r="K742" s="62"/>
      <c r="L742" s="7"/>
      <c r="M742" s="7"/>
      <c r="O742" s="7"/>
      <c r="Q742" s="7"/>
      <c r="S742" s="7"/>
      <c r="U742" s="7"/>
      <c r="W742" s="7"/>
    </row>
    <row r="743">
      <c r="E743" s="67"/>
      <c r="F743" s="7"/>
      <c r="G743" s="7"/>
      <c r="I743" s="7"/>
      <c r="K743" s="62"/>
      <c r="L743" s="7"/>
      <c r="M743" s="7"/>
      <c r="O743" s="7"/>
      <c r="Q743" s="7"/>
      <c r="S743" s="7"/>
      <c r="U743" s="7"/>
      <c r="W743" s="7"/>
    </row>
    <row r="744">
      <c r="E744" s="67"/>
      <c r="F744" s="7"/>
      <c r="G744" s="7"/>
      <c r="I744" s="7"/>
      <c r="K744" s="62"/>
      <c r="L744" s="7"/>
      <c r="M744" s="7"/>
      <c r="O744" s="7"/>
      <c r="Q744" s="7"/>
      <c r="S744" s="7"/>
      <c r="U744" s="7"/>
      <c r="W744" s="7"/>
    </row>
    <row r="745">
      <c r="E745" s="67"/>
      <c r="F745" s="7"/>
      <c r="G745" s="7"/>
      <c r="I745" s="7"/>
      <c r="K745" s="62"/>
      <c r="L745" s="7"/>
      <c r="M745" s="7"/>
      <c r="O745" s="7"/>
      <c r="Q745" s="7"/>
      <c r="S745" s="7"/>
      <c r="U745" s="7"/>
      <c r="W745" s="7"/>
    </row>
    <row r="746">
      <c r="E746" s="67"/>
      <c r="F746" s="7"/>
      <c r="G746" s="7"/>
      <c r="I746" s="7"/>
      <c r="K746" s="62"/>
      <c r="L746" s="7"/>
      <c r="M746" s="7"/>
      <c r="O746" s="7"/>
      <c r="Q746" s="7"/>
      <c r="S746" s="7"/>
      <c r="U746" s="7"/>
      <c r="W746" s="7"/>
    </row>
    <row r="747">
      <c r="E747" s="67"/>
      <c r="F747" s="7"/>
      <c r="G747" s="7"/>
      <c r="I747" s="7"/>
      <c r="K747" s="62"/>
      <c r="L747" s="7"/>
      <c r="M747" s="7"/>
      <c r="O747" s="7"/>
      <c r="Q747" s="7"/>
      <c r="S747" s="7"/>
      <c r="U747" s="7"/>
      <c r="W747" s="7"/>
    </row>
    <row r="748">
      <c r="E748" s="67"/>
      <c r="F748" s="7"/>
      <c r="G748" s="7"/>
      <c r="I748" s="7"/>
      <c r="K748" s="62"/>
      <c r="L748" s="7"/>
      <c r="M748" s="7"/>
      <c r="O748" s="7"/>
      <c r="Q748" s="7"/>
      <c r="S748" s="7"/>
      <c r="U748" s="7"/>
      <c r="W748" s="7"/>
    </row>
    <row r="749">
      <c r="E749" s="67"/>
      <c r="F749" s="7"/>
      <c r="G749" s="7"/>
      <c r="I749" s="7"/>
      <c r="K749" s="62"/>
      <c r="L749" s="7"/>
      <c r="M749" s="7"/>
      <c r="O749" s="7"/>
      <c r="Q749" s="7"/>
      <c r="S749" s="7"/>
      <c r="U749" s="7"/>
      <c r="W749" s="7"/>
    </row>
    <row r="750">
      <c r="E750" s="67"/>
      <c r="F750" s="7"/>
      <c r="G750" s="7"/>
      <c r="I750" s="7"/>
      <c r="K750" s="62"/>
      <c r="L750" s="7"/>
      <c r="M750" s="7"/>
      <c r="O750" s="7"/>
      <c r="Q750" s="7"/>
      <c r="S750" s="7"/>
      <c r="U750" s="7"/>
      <c r="W750" s="7"/>
    </row>
    <row r="751">
      <c r="E751" s="67"/>
      <c r="F751" s="7"/>
      <c r="G751" s="7"/>
      <c r="I751" s="7"/>
      <c r="K751" s="62"/>
      <c r="L751" s="7"/>
      <c r="M751" s="7"/>
      <c r="O751" s="7"/>
      <c r="Q751" s="7"/>
      <c r="S751" s="7"/>
      <c r="U751" s="7"/>
      <c r="W751" s="7"/>
    </row>
    <row r="752">
      <c r="E752" s="67"/>
      <c r="F752" s="7"/>
      <c r="G752" s="7"/>
      <c r="I752" s="7"/>
      <c r="K752" s="62"/>
      <c r="L752" s="7"/>
      <c r="M752" s="7"/>
      <c r="O752" s="7"/>
      <c r="Q752" s="7"/>
      <c r="S752" s="7"/>
      <c r="U752" s="7"/>
      <c r="W752" s="7"/>
    </row>
    <row r="753">
      <c r="E753" s="67"/>
      <c r="F753" s="7"/>
      <c r="G753" s="7"/>
      <c r="I753" s="7"/>
      <c r="K753" s="62"/>
      <c r="L753" s="7"/>
      <c r="M753" s="7"/>
      <c r="O753" s="7"/>
      <c r="Q753" s="7"/>
      <c r="S753" s="7"/>
      <c r="U753" s="7"/>
      <c r="W753" s="7"/>
    </row>
    <row r="754">
      <c r="E754" s="67"/>
      <c r="F754" s="7"/>
      <c r="G754" s="7"/>
      <c r="I754" s="7"/>
      <c r="K754" s="62"/>
      <c r="L754" s="7"/>
      <c r="M754" s="7"/>
      <c r="O754" s="7"/>
      <c r="Q754" s="7"/>
      <c r="S754" s="7"/>
      <c r="U754" s="7"/>
      <c r="W754" s="7"/>
    </row>
    <row r="755">
      <c r="E755" s="67"/>
      <c r="F755" s="7"/>
      <c r="G755" s="7"/>
      <c r="I755" s="7"/>
      <c r="K755" s="62"/>
      <c r="L755" s="7"/>
      <c r="M755" s="7"/>
      <c r="O755" s="7"/>
      <c r="Q755" s="7"/>
      <c r="S755" s="7"/>
      <c r="U755" s="7"/>
      <c r="W755" s="7"/>
    </row>
    <row r="756">
      <c r="E756" s="67"/>
      <c r="F756" s="7"/>
      <c r="G756" s="7"/>
      <c r="I756" s="7"/>
      <c r="K756" s="62"/>
      <c r="L756" s="7"/>
      <c r="M756" s="7"/>
      <c r="O756" s="7"/>
      <c r="Q756" s="7"/>
      <c r="S756" s="7"/>
      <c r="U756" s="7"/>
      <c r="W756" s="7"/>
    </row>
    <row r="757">
      <c r="E757" s="67"/>
      <c r="F757" s="7"/>
      <c r="G757" s="7"/>
      <c r="I757" s="7"/>
      <c r="K757" s="62"/>
      <c r="L757" s="7"/>
      <c r="M757" s="7"/>
      <c r="O757" s="7"/>
      <c r="Q757" s="7"/>
      <c r="S757" s="7"/>
      <c r="U757" s="7"/>
      <c r="W757" s="7"/>
    </row>
    <row r="758">
      <c r="E758" s="67"/>
      <c r="F758" s="7"/>
      <c r="G758" s="7"/>
      <c r="I758" s="7"/>
      <c r="K758" s="62"/>
      <c r="L758" s="7"/>
      <c r="M758" s="7"/>
      <c r="O758" s="7"/>
      <c r="Q758" s="7"/>
      <c r="S758" s="7"/>
      <c r="U758" s="7"/>
      <c r="W758" s="7"/>
    </row>
    <row r="759">
      <c r="E759" s="67"/>
      <c r="F759" s="7"/>
      <c r="G759" s="7"/>
      <c r="I759" s="7"/>
      <c r="K759" s="62"/>
      <c r="L759" s="7"/>
      <c r="M759" s="7"/>
      <c r="O759" s="7"/>
      <c r="Q759" s="7"/>
      <c r="S759" s="7"/>
      <c r="U759" s="7"/>
      <c r="W759" s="7"/>
    </row>
    <row r="760">
      <c r="E760" s="67"/>
      <c r="F760" s="7"/>
      <c r="G760" s="7"/>
      <c r="I760" s="7"/>
      <c r="K760" s="62"/>
      <c r="L760" s="7"/>
      <c r="M760" s="7"/>
      <c r="O760" s="7"/>
      <c r="Q760" s="7"/>
      <c r="S760" s="7"/>
      <c r="U760" s="7"/>
      <c r="W760" s="7"/>
    </row>
    <row r="761">
      <c r="E761" s="67"/>
      <c r="F761" s="7"/>
      <c r="G761" s="7"/>
      <c r="I761" s="7"/>
      <c r="K761" s="62"/>
      <c r="L761" s="7"/>
      <c r="M761" s="7"/>
      <c r="O761" s="7"/>
      <c r="Q761" s="7"/>
      <c r="S761" s="7"/>
      <c r="U761" s="7"/>
      <c r="W761" s="7"/>
    </row>
    <row r="762">
      <c r="E762" s="67"/>
      <c r="F762" s="7"/>
      <c r="G762" s="7"/>
      <c r="I762" s="7"/>
      <c r="K762" s="62"/>
      <c r="L762" s="7"/>
      <c r="M762" s="7"/>
      <c r="O762" s="7"/>
      <c r="Q762" s="7"/>
      <c r="S762" s="7"/>
      <c r="U762" s="7"/>
      <c r="W762" s="7"/>
    </row>
    <row r="763">
      <c r="E763" s="67"/>
      <c r="F763" s="7"/>
      <c r="G763" s="7"/>
      <c r="I763" s="7"/>
      <c r="K763" s="62"/>
      <c r="L763" s="7"/>
      <c r="M763" s="7"/>
      <c r="O763" s="7"/>
      <c r="Q763" s="7"/>
      <c r="S763" s="7"/>
      <c r="U763" s="7"/>
      <c r="W763" s="7"/>
    </row>
    <row r="764">
      <c r="E764" s="67"/>
      <c r="F764" s="7"/>
      <c r="G764" s="7"/>
      <c r="I764" s="7"/>
      <c r="K764" s="62"/>
      <c r="L764" s="7"/>
      <c r="M764" s="7"/>
      <c r="O764" s="7"/>
      <c r="Q764" s="7"/>
      <c r="S764" s="7"/>
      <c r="U764" s="7"/>
      <c r="W764" s="7"/>
    </row>
    <row r="765">
      <c r="E765" s="67"/>
      <c r="F765" s="7"/>
      <c r="G765" s="7"/>
      <c r="I765" s="7"/>
      <c r="K765" s="62"/>
      <c r="L765" s="7"/>
      <c r="M765" s="7"/>
      <c r="O765" s="7"/>
      <c r="Q765" s="7"/>
      <c r="S765" s="7"/>
      <c r="U765" s="7"/>
      <c r="W765" s="7"/>
    </row>
    <row r="766">
      <c r="E766" s="67"/>
      <c r="F766" s="7"/>
      <c r="G766" s="7"/>
      <c r="I766" s="7"/>
      <c r="K766" s="62"/>
      <c r="L766" s="7"/>
      <c r="M766" s="7"/>
      <c r="O766" s="7"/>
      <c r="Q766" s="7"/>
      <c r="S766" s="7"/>
      <c r="U766" s="7"/>
      <c r="W766" s="7"/>
    </row>
    <row r="767">
      <c r="E767" s="67"/>
      <c r="F767" s="7"/>
      <c r="G767" s="7"/>
      <c r="I767" s="7"/>
      <c r="K767" s="62"/>
      <c r="L767" s="7"/>
      <c r="M767" s="7"/>
      <c r="O767" s="7"/>
      <c r="Q767" s="7"/>
      <c r="S767" s="7"/>
      <c r="U767" s="7"/>
      <c r="W767" s="7"/>
    </row>
    <row r="768">
      <c r="E768" s="67"/>
      <c r="F768" s="7"/>
      <c r="G768" s="7"/>
      <c r="I768" s="7"/>
      <c r="K768" s="62"/>
      <c r="L768" s="7"/>
      <c r="M768" s="7"/>
      <c r="O768" s="7"/>
      <c r="Q768" s="7"/>
      <c r="S768" s="7"/>
      <c r="U768" s="7"/>
      <c r="W768" s="7"/>
    </row>
    <row r="769">
      <c r="E769" s="67"/>
      <c r="F769" s="7"/>
      <c r="G769" s="7"/>
      <c r="I769" s="7"/>
      <c r="K769" s="62"/>
      <c r="L769" s="7"/>
      <c r="M769" s="7"/>
      <c r="O769" s="7"/>
      <c r="Q769" s="7"/>
      <c r="S769" s="7"/>
      <c r="U769" s="7"/>
      <c r="W769" s="7"/>
    </row>
    <row r="770">
      <c r="E770" s="67"/>
      <c r="F770" s="7"/>
      <c r="G770" s="7"/>
      <c r="I770" s="7"/>
      <c r="K770" s="62"/>
      <c r="L770" s="7"/>
      <c r="M770" s="7"/>
      <c r="O770" s="7"/>
      <c r="Q770" s="7"/>
      <c r="S770" s="7"/>
      <c r="U770" s="7"/>
      <c r="W770" s="7"/>
    </row>
    <row r="771">
      <c r="E771" s="67"/>
      <c r="F771" s="7"/>
      <c r="G771" s="7"/>
      <c r="I771" s="7"/>
      <c r="K771" s="62"/>
      <c r="L771" s="7"/>
      <c r="M771" s="7"/>
      <c r="O771" s="7"/>
      <c r="Q771" s="7"/>
      <c r="S771" s="7"/>
      <c r="U771" s="7"/>
      <c r="W771" s="7"/>
    </row>
    <row r="772">
      <c r="E772" s="67"/>
      <c r="F772" s="7"/>
      <c r="G772" s="7"/>
      <c r="I772" s="7"/>
      <c r="K772" s="62"/>
      <c r="L772" s="7"/>
      <c r="M772" s="7"/>
      <c r="O772" s="7"/>
      <c r="Q772" s="7"/>
      <c r="S772" s="7"/>
      <c r="U772" s="7"/>
      <c r="W772" s="7"/>
    </row>
    <row r="773">
      <c r="E773" s="67"/>
      <c r="F773" s="7"/>
      <c r="G773" s="7"/>
      <c r="I773" s="7"/>
      <c r="K773" s="62"/>
      <c r="L773" s="7"/>
      <c r="M773" s="7"/>
      <c r="O773" s="7"/>
      <c r="Q773" s="7"/>
      <c r="S773" s="7"/>
      <c r="U773" s="7"/>
      <c r="W773" s="7"/>
    </row>
    <row r="774">
      <c r="E774" s="67"/>
      <c r="F774" s="7"/>
      <c r="G774" s="7"/>
      <c r="I774" s="7"/>
      <c r="K774" s="62"/>
      <c r="L774" s="7"/>
      <c r="M774" s="7"/>
      <c r="O774" s="7"/>
      <c r="Q774" s="7"/>
      <c r="S774" s="7"/>
      <c r="U774" s="7"/>
      <c r="W774" s="7"/>
    </row>
    <row r="775">
      <c r="E775" s="67"/>
      <c r="F775" s="7"/>
      <c r="G775" s="7"/>
      <c r="I775" s="7"/>
      <c r="K775" s="62"/>
      <c r="L775" s="7"/>
      <c r="M775" s="7"/>
      <c r="O775" s="7"/>
      <c r="Q775" s="7"/>
      <c r="S775" s="7"/>
      <c r="U775" s="7"/>
      <c r="W775" s="7"/>
    </row>
    <row r="776">
      <c r="E776" s="67"/>
      <c r="F776" s="7"/>
      <c r="G776" s="7"/>
      <c r="I776" s="7"/>
      <c r="K776" s="62"/>
      <c r="L776" s="7"/>
      <c r="M776" s="7"/>
      <c r="O776" s="7"/>
      <c r="Q776" s="7"/>
      <c r="S776" s="7"/>
      <c r="U776" s="7"/>
      <c r="W776" s="7"/>
    </row>
    <row r="777">
      <c r="E777" s="67"/>
      <c r="F777" s="7"/>
      <c r="G777" s="7"/>
      <c r="I777" s="7"/>
      <c r="K777" s="62"/>
      <c r="L777" s="7"/>
      <c r="M777" s="7"/>
      <c r="O777" s="7"/>
      <c r="Q777" s="7"/>
      <c r="S777" s="7"/>
      <c r="U777" s="7"/>
      <c r="W777" s="7"/>
    </row>
    <row r="778">
      <c r="E778" s="67"/>
      <c r="F778" s="7"/>
      <c r="G778" s="7"/>
      <c r="I778" s="7"/>
      <c r="K778" s="62"/>
      <c r="L778" s="7"/>
      <c r="M778" s="7"/>
      <c r="O778" s="7"/>
      <c r="Q778" s="7"/>
      <c r="S778" s="7"/>
      <c r="U778" s="7"/>
      <c r="W778" s="7"/>
    </row>
    <row r="779">
      <c r="E779" s="67"/>
      <c r="F779" s="7"/>
      <c r="G779" s="7"/>
      <c r="I779" s="7"/>
      <c r="K779" s="62"/>
      <c r="L779" s="7"/>
      <c r="M779" s="7"/>
      <c r="O779" s="7"/>
      <c r="Q779" s="7"/>
      <c r="S779" s="7"/>
      <c r="U779" s="7"/>
      <c r="W779" s="7"/>
    </row>
    <row r="780">
      <c r="E780" s="67"/>
      <c r="F780" s="7"/>
      <c r="G780" s="7"/>
      <c r="I780" s="7"/>
      <c r="K780" s="62"/>
      <c r="L780" s="7"/>
      <c r="M780" s="7"/>
      <c r="O780" s="7"/>
      <c r="Q780" s="7"/>
      <c r="S780" s="7"/>
      <c r="U780" s="7"/>
      <c r="W780" s="7"/>
    </row>
    <row r="781">
      <c r="E781" s="67"/>
      <c r="F781" s="7"/>
      <c r="G781" s="7"/>
      <c r="I781" s="7"/>
      <c r="K781" s="62"/>
      <c r="L781" s="7"/>
      <c r="M781" s="7"/>
      <c r="O781" s="7"/>
      <c r="Q781" s="7"/>
      <c r="S781" s="7"/>
      <c r="U781" s="7"/>
      <c r="W781" s="7"/>
    </row>
    <row r="782">
      <c r="E782" s="67"/>
      <c r="F782" s="7"/>
      <c r="G782" s="7"/>
      <c r="I782" s="7"/>
      <c r="K782" s="62"/>
      <c r="L782" s="7"/>
      <c r="M782" s="7"/>
      <c r="O782" s="7"/>
      <c r="Q782" s="7"/>
      <c r="S782" s="7"/>
      <c r="U782" s="7"/>
      <c r="W782" s="7"/>
    </row>
    <row r="783">
      <c r="E783" s="67"/>
      <c r="F783" s="7"/>
      <c r="G783" s="7"/>
      <c r="I783" s="7"/>
      <c r="K783" s="62"/>
      <c r="L783" s="7"/>
      <c r="M783" s="7"/>
      <c r="O783" s="7"/>
      <c r="Q783" s="7"/>
      <c r="S783" s="7"/>
      <c r="U783" s="7"/>
      <c r="W783" s="7"/>
    </row>
    <row r="784">
      <c r="E784" s="67"/>
      <c r="F784" s="7"/>
      <c r="G784" s="7"/>
      <c r="I784" s="7"/>
      <c r="K784" s="62"/>
      <c r="L784" s="7"/>
      <c r="M784" s="7"/>
      <c r="O784" s="7"/>
      <c r="Q784" s="7"/>
      <c r="S784" s="7"/>
      <c r="U784" s="7"/>
      <c r="W784" s="7"/>
    </row>
    <row r="785">
      <c r="E785" s="67"/>
      <c r="F785" s="7"/>
      <c r="G785" s="7"/>
      <c r="I785" s="7"/>
      <c r="K785" s="62"/>
      <c r="L785" s="7"/>
      <c r="M785" s="7"/>
      <c r="O785" s="7"/>
      <c r="Q785" s="7"/>
      <c r="S785" s="7"/>
      <c r="U785" s="7"/>
      <c r="W785" s="7"/>
    </row>
    <row r="786">
      <c r="E786" s="67"/>
      <c r="F786" s="7"/>
      <c r="G786" s="7"/>
      <c r="I786" s="7"/>
      <c r="K786" s="62"/>
      <c r="L786" s="7"/>
      <c r="M786" s="7"/>
      <c r="O786" s="7"/>
      <c r="Q786" s="7"/>
      <c r="S786" s="7"/>
      <c r="U786" s="7"/>
      <c r="W786" s="7"/>
    </row>
    <row r="787">
      <c r="E787" s="67"/>
      <c r="F787" s="7"/>
      <c r="G787" s="7"/>
      <c r="I787" s="7"/>
      <c r="K787" s="62"/>
      <c r="L787" s="7"/>
      <c r="M787" s="7"/>
      <c r="O787" s="7"/>
      <c r="Q787" s="7"/>
      <c r="S787" s="7"/>
      <c r="U787" s="7"/>
      <c r="W787" s="7"/>
    </row>
    <row r="788">
      <c r="E788" s="67"/>
      <c r="F788" s="7"/>
      <c r="G788" s="7"/>
      <c r="I788" s="7"/>
      <c r="K788" s="62"/>
      <c r="L788" s="7"/>
      <c r="M788" s="7"/>
      <c r="O788" s="7"/>
      <c r="Q788" s="7"/>
      <c r="S788" s="7"/>
      <c r="U788" s="7"/>
      <c r="W788" s="7"/>
    </row>
    <row r="789">
      <c r="E789" s="67"/>
      <c r="F789" s="7"/>
      <c r="G789" s="7"/>
      <c r="I789" s="7"/>
      <c r="K789" s="62"/>
      <c r="L789" s="7"/>
      <c r="M789" s="7"/>
      <c r="O789" s="7"/>
      <c r="Q789" s="7"/>
      <c r="S789" s="7"/>
      <c r="U789" s="7"/>
      <c r="W789" s="7"/>
    </row>
    <row r="790">
      <c r="E790" s="67"/>
      <c r="F790" s="7"/>
      <c r="G790" s="7"/>
      <c r="I790" s="7"/>
      <c r="K790" s="62"/>
      <c r="L790" s="7"/>
      <c r="M790" s="7"/>
      <c r="O790" s="7"/>
      <c r="Q790" s="7"/>
      <c r="S790" s="7"/>
      <c r="U790" s="7"/>
      <c r="W790" s="7"/>
    </row>
    <row r="791">
      <c r="E791" s="67"/>
      <c r="F791" s="7"/>
      <c r="G791" s="7"/>
      <c r="I791" s="7"/>
      <c r="K791" s="62"/>
      <c r="L791" s="7"/>
      <c r="M791" s="7"/>
      <c r="O791" s="7"/>
      <c r="Q791" s="7"/>
      <c r="S791" s="7"/>
      <c r="U791" s="7"/>
      <c r="W791" s="7"/>
    </row>
    <row r="792">
      <c r="E792" s="67"/>
      <c r="F792" s="7"/>
      <c r="G792" s="7"/>
      <c r="I792" s="7"/>
      <c r="K792" s="62"/>
      <c r="L792" s="7"/>
      <c r="M792" s="7"/>
      <c r="O792" s="7"/>
      <c r="Q792" s="7"/>
      <c r="S792" s="7"/>
      <c r="U792" s="7"/>
      <c r="W792" s="7"/>
    </row>
    <row r="793">
      <c r="E793" s="67"/>
      <c r="F793" s="7"/>
      <c r="G793" s="7"/>
      <c r="I793" s="7"/>
      <c r="K793" s="62"/>
      <c r="L793" s="7"/>
      <c r="M793" s="7"/>
      <c r="O793" s="7"/>
      <c r="Q793" s="7"/>
      <c r="S793" s="7"/>
      <c r="U793" s="7"/>
      <c r="W793" s="7"/>
    </row>
    <row r="794">
      <c r="E794" s="67"/>
      <c r="F794" s="7"/>
      <c r="G794" s="7"/>
      <c r="I794" s="7"/>
      <c r="K794" s="62"/>
      <c r="L794" s="7"/>
      <c r="M794" s="7"/>
      <c r="O794" s="7"/>
      <c r="Q794" s="7"/>
      <c r="S794" s="7"/>
      <c r="U794" s="7"/>
      <c r="W794" s="7"/>
    </row>
    <row r="795">
      <c r="E795" s="67"/>
      <c r="F795" s="7"/>
      <c r="G795" s="7"/>
      <c r="I795" s="7"/>
      <c r="K795" s="62"/>
      <c r="L795" s="7"/>
      <c r="M795" s="7"/>
      <c r="O795" s="7"/>
      <c r="Q795" s="7"/>
      <c r="S795" s="7"/>
      <c r="U795" s="7"/>
      <c r="W795" s="7"/>
    </row>
    <row r="796">
      <c r="E796" s="67"/>
      <c r="F796" s="7"/>
      <c r="G796" s="7"/>
      <c r="I796" s="7"/>
      <c r="K796" s="62"/>
      <c r="L796" s="7"/>
      <c r="M796" s="7"/>
      <c r="O796" s="7"/>
      <c r="Q796" s="7"/>
      <c r="S796" s="7"/>
      <c r="U796" s="7"/>
      <c r="W796" s="7"/>
    </row>
    <row r="797">
      <c r="E797" s="67"/>
      <c r="F797" s="7"/>
      <c r="G797" s="7"/>
      <c r="I797" s="7"/>
      <c r="K797" s="62"/>
      <c r="L797" s="7"/>
      <c r="M797" s="7"/>
      <c r="O797" s="7"/>
      <c r="Q797" s="7"/>
      <c r="S797" s="7"/>
      <c r="U797" s="7"/>
      <c r="W797" s="7"/>
    </row>
    <row r="798">
      <c r="E798" s="67"/>
      <c r="F798" s="7"/>
      <c r="G798" s="7"/>
      <c r="I798" s="7"/>
      <c r="K798" s="62"/>
      <c r="L798" s="7"/>
      <c r="M798" s="7"/>
      <c r="O798" s="7"/>
      <c r="Q798" s="7"/>
      <c r="S798" s="7"/>
      <c r="U798" s="7"/>
      <c r="W798" s="7"/>
    </row>
    <row r="799">
      <c r="E799" s="67"/>
      <c r="F799" s="7"/>
      <c r="G799" s="7"/>
      <c r="I799" s="7"/>
      <c r="K799" s="62"/>
      <c r="L799" s="7"/>
      <c r="M799" s="7"/>
      <c r="O799" s="7"/>
      <c r="Q799" s="7"/>
      <c r="S799" s="7"/>
      <c r="U799" s="7"/>
      <c r="W799" s="7"/>
    </row>
    <row r="800">
      <c r="E800" s="67"/>
      <c r="F800" s="7"/>
      <c r="G800" s="7"/>
      <c r="I800" s="7"/>
      <c r="K800" s="62"/>
      <c r="L800" s="7"/>
      <c r="M800" s="7"/>
      <c r="O800" s="7"/>
      <c r="Q800" s="7"/>
      <c r="S800" s="7"/>
      <c r="U800" s="7"/>
      <c r="W800" s="7"/>
    </row>
    <row r="801">
      <c r="E801" s="67"/>
      <c r="F801" s="7"/>
      <c r="G801" s="7"/>
      <c r="I801" s="7"/>
      <c r="K801" s="62"/>
      <c r="L801" s="7"/>
      <c r="M801" s="7"/>
      <c r="O801" s="7"/>
      <c r="Q801" s="7"/>
      <c r="S801" s="7"/>
      <c r="U801" s="7"/>
      <c r="W801" s="7"/>
    </row>
    <row r="802">
      <c r="E802" s="67"/>
      <c r="F802" s="7"/>
      <c r="G802" s="7"/>
      <c r="I802" s="7"/>
      <c r="K802" s="62"/>
      <c r="L802" s="7"/>
      <c r="M802" s="7"/>
      <c r="O802" s="7"/>
      <c r="Q802" s="7"/>
      <c r="S802" s="7"/>
      <c r="U802" s="7"/>
      <c r="W802" s="7"/>
    </row>
    <row r="803">
      <c r="E803" s="67"/>
      <c r="F803" s="7"/>
      <c r="G803" s="7"/>
      <c r="I803" s="7"/>
      <c r="K803" s="62"/>
      <c r="L803" s="7"/>
      <c r="M803" s="7"/>
      <c r="O803" s="7"/>
      <c r="Q803" s="7"/>
      <c r="S803" s="7"/>
      <c r="U803" s="7"/>
      <c r="W803" s="7"/>
    </row>
    <row r="804">
      <c r="E804" s="67"/>
      <c r="F804" s="7"/>
      <c r="G804" s="7"/>
      <c r="I804" s="7"/>
      <c r="K804" s="62"/>
      <c r="L804" s="7"/>
      <c r="M804" s="7"/>
      <c r="O804" s="7"/>
      <c r="Q804" s="7"/>
      <c r="S804" s="7"/>
      <c r="U804" s="7"/>
      <c r="W804" s="7"/>
    </row>
    <row r="805">
      <c r="E805" s="67"/>
      <c r="F805" s="7"/>
      <c r="G805" s="7"/>
      <c r="I805" s="7"/>
      <c r="K805" s="62"/>
      <c r="L805" s="7"/>
      <c r="M805" s="7"/>
      <c r="O805" s="7"/>
      <c r="Q805" s="7"/>
      <c r="S805" s="7"/>
      <c r="U805" s="7"/>
      <c r="W805" s="7"/>
    </row>
    <row r="806">
      <c r="E806" s="67"/>
      <c r="F806" s="7"/>
      <c r="G806" s="7"/>
      <c r="I806" s="7"/>
      <c r="K806" s="62"/>
      <c r="L806" s="7"/>
      <c r="M806" s="7"/>
      <c r="O806" s="7"/>
      <c r="Q806" s="7"/>
      <c r="S806" s="7"/>
      <c r="U806" s="7"/>
      <c r="W806" s="7"/>
    </row>
    <row r="807">
      <c r="E807" s="67"/>
      <c r="F807" s="7"/>
      <c r="G807" s="7"/>
      <c r="I807" s="7"/>
      <c r="K807" s="62"/>
      <c r="L807" s="7"/>
      <c r="M807" s="7"/>
      <c r="O807" s="7"/>
      <c r="Q807" s="7"/>
      <c r="S807" s="7"/>
      <c r="U807" s="7"/>
      <c r="W807" s="7"/>
    </row>
    <row r="808">
      <c r="E808" s="67"/>
      <c r="F808" s="7"/>
      <c r="G808" s="7"/>
      <c r="I808" s="7"/>
      <c r="K808" s="62"/>
      <c r="L808" s="7"/>
      <c r="M808" s="7"/>
      <c r="O808" s="7"/>
      <c r="Q808" s="7"/>
      <c r="S808" s="7"/>
      <c r="U808" s="7"/>
      <c r="W808" s="7"/>
    </row>
    <row r="809">
      <c r="E809" s="67"/>
      <c r="F809" s="7"/>
      <c r="G809" s="7"/>
      <c r="I809" s="7"/>
      <c r="K809" s="62"/>
      <c r="L809" s="7"/>
      <c r="M809" s="7"/>
      <c r="O809" s="7"/>
      <c r="Q809" s="7"/>
      <c r="S809" s="7"/>
      <c r="U809" s="7"/>
      <c r="W809" s="7"/>
    </row>
    <row r="810">
      <c r="E810" s="67"/>
      <c r="F810" s="7"/>
      <c r="G810" s="7"/>
      <c r="I810" s="7"/>
      <c r="K810" s="62"/>
      <c r="L810" s="7"/>
      <c r="M810" s="7"/>
      <c r="O810" s="7"/>
      <c r="Q810" s="7"/>
      <c r="S810" s="7"/>
      <c r="U810" s="7"/>
      <c r="W810" s="7"/>
    </row>
    <row r="811">
      <c r="E811" s="67"/>
      <c r="F811" s="7"/>
      <c r="G811" s="7"/>
      <c r="I811" s="7"/>
      <c r="K811" s="62"/>
      <c r="L811" s="7"/>
      <c r="M811" s="7"/>
      <c r="O811" s="7"/>
      <c r="Q811" s="7"/>
      <c r="S811" s="7"/>
      <c r="U811" s="7"/>
      <c r="W811" s="7"/>
    </row>
    <row r="812">
      <c r="E812" s="67"/>
      <c r="F812" s="7"/>
      <c r="G812" s="7"/>
      <c r="I812" s="7"/>
      <c r="K812" s="62"/>
      <c r="L812" s="7"/>
      <c r="M812" s="7"/>
      <c r="O812" s="7"/>
      <c r="Q812" s="7"/>
      <c r="S812" s="7"/>
      <c r="U812" s="7"/>
      <c r="W812" s="7"/>
    </row>
    <row r="813">
      <c r="E813" s="67"/>
      <c r="F813" s="7"/>
      <c r="G813" s="7"/>
      <c r="I813" s="7"/>
      <c r="K813" s="62"/>
      <c r="L813" s="7"/>
      <c r="M813" s="7"/>
      <c r="O813" s="7"/>
      <c r="Q813" s="7"/>
      <c r="S813" s="7"/>
      <c r="U813" s="7"/>
      <c r="W813" s="7"/>
    </row>
    <row r="814">
      <c r="E814" s="67"/>
      <c r="F814" s="7"/>
      <c r="G814" s="7"/>
      <c r="I814" s="7"/>
      <c r="K814" s="62"/>
      <c r="L814" s="7"/>
      <c r="M814" s="7"/>
      <c r="O814" s="7"/>
      <c r="Q814" s="7"/>
      <c r="S814" s="7"/>
      <c r="U814" s="7"/>
      <c r="W814" s="7"/>
    </row>
    <row r="815">
      <c r="E815" s="67"/>
      <c r="F815" s="7"/>
      <c r="G815" s="7"/>
      <c r="I815" s="7"/>
      <c r="K815" s="62"/>
      <c r="L815" s="7"/>
      <c r="M815" s="7"/>
      <c r="O815" s="7"/>
      <c r="Q815" s="7"/>
      <c r="S815" s="7"/>
      <c r="U815" s="7"/>
      <c r="W815" s="7"/>
    </row>
    <row r="816">
      <c r="E816" s="67"/>
      <c r="F816" s="7"/>
      <c r="G816" s="7"/>
      <c r="I816" s="7"/>
      <c r="K816" s="62"/>
      <c r="L816" s="7"/>
      <c r="M816" s="7"/>
      <c r="O816" s="7"/>
      <c r="Q816" s="7"/>
      <c r="S816" s="7"/>
      <c r="U816" s="7"/>
      <c r="W816" s="7"/>
    </row>
    <row r="817">
      <c r="E817" s="67"/>
      <c r="F817" s="7"/>
      <c r="G817" s="7"/>
      <c r="I817" s="7"/>
      <c r="K817" s="62"/>
      <c r="L817" s="7"/>
      <c r="M817" s="7"/>
      <c r="O817" s="7"/>
      <c r="Q817" s="7"/>
      <c r="S817" s="7"/>
      <c r="U817" s="7"/>
      <c r="W817" s="7"/>
    </row>
    <row r="818">
      <c r="E818" s="67"/>
      <c r="F818" s="7"/>
      <c r="G818" s="7"/>
      <c r="I818" s="7"/>
      <c r="K818" s="62"/>
      <c r="L818" s="7"/>
      <c r="M818" s="7"/>
      <c r="O818" s="7"/>
      <c r="Q818" s="7"/>
      <c r="S818" s="7"/>
      <c r="U818" s="7"/>
      <c r="W818" s="7"/>
    </row>
    <row r="819">
      <c r="E819" s="67"/>
      <c r="F819" s="7"/>
      <c r="G819" s="7"/>
      <c r="I819" s="7"/>
      <c r="K819" s="62"/>
      <c r="L819" s="7"/>
      <c r="M819" s="7"/>
      <c r="O819" s="7"/>
      <c r="Q819" s="7"/>
      <c r="S819" s="7"/>
      <c r="U819" s="7"/>
      <c r="W819" s="7"/>
    </row>
    <row r="820">
      <c r="E820" s="67"/>
      <c r="F820" s="7"/>
      <c r="G820" s="7"/>
      <c r="I820" s="7"/>
      <c r="K820" s="62"/>
      <c r="L820" s="7"/>
      <c r="M820" s="7"/>
      <c r="O820" s="7"/>
      <c r="Q820" s="7"/>
      <c r="S820" s="7"/>
      <c r="U820" s="7"/>
      <c r="W820" s="7"/>
    </row>
    <row r="821">
      <c r="E821" s="67"/>
      <c r="F821" s="7"/>
      <c r="G821" s="7"/>
      <c r="I821" s="7"/>
      <c r="K821" s="62"/>
      <c r="L821" s="7"/>
      <c r="M821" s="7"/>
      <c r="O821" s="7"/>
      <c r="Q821" s="7"/>
      <c r="S821" s="7"/>
      <c r="U821" s="7"/>
      <c r="W821" s="7"/>
    </row>
    <row r="822">
      <c r="E822" s="67"/>
      <c r="F822" s="7"/>
      <c r="G822" s="7"/>
      <c r="I822" s="7"/>
      <c r="K822" s="62"/>
      <c r="L822" s="7"/>
      <c r="M822" s="7"/>
      <c r="O822" s="7"/>
      <c r="Q822" s="7"/>
      <c r="S822" s="7"/>
      <c r="U822" s="7"/>
      <c r="W822" s="7"/>
    </row>
    <row r="823">
      <c r="E823" s="67"/>
      <c r="F823" s="7"/>
      <c r="G823" s="7"/>
      <c r="I823" s="7"/>
      <c r="K823" s="62"/>
      <c r="L823" s="7"/>
      <c r="M823" s="7"/>
      <c r="O823" s="7"/>
      <c r="Q823" s="7"/>
      <c r="S823" s="7"/>
      <c r="U823" s="7"/>
      <c r="W823" s="7"/>
    </row>
    <row r="824">
      <c r="E824" s="67"/>
      <c r="F824" s="7"/>
      <c r="G824" s="7"/>
      <c r="I824" s="7"/>
      <c r="K824" s="62"/>
      <c r="L824" s="7"/>
      <c r="M824" s="7"/>
      <c r="O824" s="7"/>
      <c r="Q824" s="7"/>
      <c r="S824" s="7"/>
      <c r="U824" s="7"/>
      <c r="W824" s="7"/>
    </row>
    <row r="825">
      <c r="E825" s="67"/>
      <c r="F825" s="7"/>
      <c r="G825" s="7"/>
      <c r="I825" s="7"/>
      <c r="K825" s="62"/>
      <c r="L825" s="7"/>
      <c r="M825" s="7"/>
      <c r="O825" s="7"/>
      <c r="Q825" s="7"/>
      <c r="S825" s="7"/>
      <c r="U825" s="7"/>
      <c r="W825" s="7"/>
    </row>
    <row r="826">
      <c r="E826" s="67"/>
      <c r="F826" s="7"/>
      <c r="G826" s="7"/>
      <c r="I826" s="7"/>
      <c r="K826" s="62"/>
      <c r="L826" s="7"/>
      <c r="M826" s="7"/>
      <c r="O826" s="7"/>
      <c r="Q826" s="7"/>
      <c r="S826" s="7"/>
      <c r="U826" s="7"/>
      <c r="W826" s="7"/>
    </row>
    <row r="827">
      <c r="E827" s="67"/>
      <c r="F827" s="7"/>
      <c r="G827" s="7"/>
      <c r="I827" s="7"/>
      <c r="K827" s="62"/>
      <c r="L827" s="7"/>
      <c r="M827" s="7"/>
      <c r="O827" s="7"/>
      <c r="Q827" s="7"/>
      <c r="S827" s="7"/>
      <c r="U827" s="7"/>
      <c r="W827" s="7"/>
    </row>
    <row r="828">
      <c r="E828" s="67"/>
      <c r="F828" s="7"/>
      <c r="G828" s="7"/>
      <c r="I828" s="7"/>
      <c r="K828" s="62"/>
      <c r="L828" s="7"/>
      <c r="M828" s="7"/>
      <c r="O828" s="7"/>
      <c r="Q828" s="7"/>
      <c r="S828" s="7"/>
      <c r="U828" s="7"/>
      <c r="W828" s="7"/>
    </row>
    <row r="829">
      <c r="E829" s="67"/>
      <c r="F829" s="7"/>
      <c r="G829" s="7"/>
      <c r="I829" s="7"/>
      <c r="K829" s="62"/>
      <c r="L829" s="7"/>
      <c r="M829" s="7"/>
      <c r="O829" s="7"/>
      <c r="Q829" s="7"/>
      <c r="S829" s="7"/>
      <c r="U829" s="7"/>
      <c r="W829" s="7"/>
    </row>
    <row r="830">
      <c r="E830" s="67"/>
      <c r="F830" s="7"/>
      <c r="G830" s="7"/>
      <c r="I830" s="7"/>
      <c r="K830" s="62"/>
      <c r="L830" s="7"/>
      <c r="M830" s="7"/>
      <c r="O830" s="7"/>
      <c r="Q830" s="7"/>
      <c r="S830" s="7"/>
      <c r="U830" s="7"/>
      <c r="W830" s="7"/>
    </row>
    <row r="831">
      <c r="E831" s="67"/>
      <c r="F831" s="7"/>
      <c r="G831" s="7"/>
      <c r="I831" s="7"/>
      <c r="K831" s="62"/>
      <c r="L831" s="7"/>
      <c r="M831" s="7"/>
      <c r="O831" s="7"/>
      <c r="Q831" s="7"/>
      <c r="S831" s="7"/>
      <c r="U831" s="7"/>
      <c r="W831" s="7"/>
    </row>
    <row r="832">
      <c r="E832" s="67"/>
      <c r="F832" s="7"/>
      <c r="G832" s="7"/>
      <c r="I832" s="7"/>
      <c r="K832" s="62"/>
      <c r="L832" s="7"/>
      <c r="M832" s="7"/>
      <c r="O832" s="7"/>
      <c r="Q832" s="7"/>
      <c r="S832" s="7"/>
      <c r="U832" s="7"/>
      <c r="W832" s="7"/>
    </row>
    <row r="833">
      <c r="E833" s="67"/>
      <c r="F833" s="7"/>
      <c r="G833" s="7"/>
      <c r="I833" s="7"/>
      <c r="K833" s="62"/>
      <c r="L833" s="7"/>
      <c r="M833" s="7"/>
      <c r="O833" s="7"/>
      <c r="Q833" s="7"/>
      <c r="S833" s="7"/>
      <c r="U833" s="7"/>
      <c r="W833" s="7"/>
    </row>
    <row r="834">
      <c r="E834" s="67"/>
      <c r="F834" s="7"/>
      <c r="G834" s="7"/>
      <c r="I834" s="7"/>
      <c r="K834" s="62"/>
      <c r="L834" s="7"/>
      <c r="M834" s="7"/>
      <c r="O834" s="7"/>
      <c r="Q834" s="7"/>
      <c r="S834" s="7"/>
      <c r="U834" s="7"/>
      <c r="W834" s="7"/>
    </row>
    <row r="835">
      <c r="E835" s="67"/>
      <c r="F835" s="7"/>
      <c r="G835" s="7"/>
      <c r="I835" s="7"/>
      <c r="K835" s="62"/>
      <c r="L835" s="7"/>
      <c r="M835" s="7"/>
      <c r="O835" s="7"/>
      <c r="Q835" s="7"/>
      <c r="S835" s="7"/>
      <c r="U835" s="7"/>
      <c r="W835" s="7"/>
    </row>
    <row r="836">
      <c r="E836" s="67"/>
      <c r="F836" s="7"/>
      <c r="G836" s="7"/>
      <c r="I836" s="7"/>
      <c r="K836" s="62"/>
      <c r="L836" s="7"/>
      <c r="M836" s="7"/>
      <c r="O836" s="7"/>
      <c r="Q836" s="7"/>
      <c r="S836" s="7"/>
      <c r="U836" s="7"/>
      <c r="W836" s="7"/>
    </row>
    <row r="837">
      <c r="E837" s="67"/>
      <c r="F837" s="7"/>
      <c r="G837" s="7"/>
      <c r="I837" s="7"/>
      <c r="K837" s="62"/>
      <c r="L837" s="7"/>
      <c r="M837" s="7"/>
      <c r="O837" s="7"/>
      <c r="Q837" s="7"/>
      <c r="S837" s="7"/>
      <c r="U837" s="7"/>
      <c r="W837" s="7"/>
    </row>
    <row r="838">
      <c r="E838" s="67"/>
      <c r="F838" s="7"/>
      <c r="G838" s="7"/>
      <c r="I838" s="7"/>
      <c r="K838" s="62"/>
      <c r="L838" s="7"/>
      <c r="M838" s="7"/>
      <c r="O838" s="7"/>
      <c r="Q838" s="7"/>
      <c r="S838" s="7"/>
      <c r="U838" s="7"/>
      <c r="W838" s="7"/>
    </row>
    <row r="839">
      <c r="E839" s="67"/>
      <c r="F839" s="7"/>
      <c r="G839" s="7"/>
      <c r="I839" s="7"/>
      <c r="K839" s="62"/>
      <c r="L839" s="7"/>
      <c r="M839" s="7"/>
      <c r="O839" s="7"/>
      <c r="Q839" s="7"/>
      <c r="S839" s="7"/>
      <c r="U839" s="7"/>
      <c r="W839" s="7"/>
    </row>
    <row r="840">
      <c r="E840" s="67"/>
      <c r="F840" s="7"/>
      <c r="G840" s="7"/>
      <c r="I840" s="7"/>
      <c r="K840" s="62"/>
      <c r="L840" s="7"/>
      <c r="M840" s="7"/>
      <c r="O840" s="7"/>
      <c r="Q840" s="7"/>
      <c r="S840" s="7"/>
      <c r="U840" s="7"/>
      <c r="W840" s="7"/>
    </row>
    <row r="841">
      <c r="E841" s="67"/>
      <c r="F841" s="7"/>
      <c r="G841" s="7"/>
      <c r="I841" s="7"/>
      <c r="K841" s="62"/>
      <c r="L841" s="7"/>
      <c r="M841" s="7"/>
      <c r="O841" s="7"/>
      <c r="Q841" s="7"/>
      <c r="S841" s="7"/>
      <c r="U841" s="7"/>
      <c r="W841" s="7"/>
    </row>
    <row r="842">
      <c r="E842" s="67"/>
      <c r="F842" s="7"/>
      <c r="G842" s="7"/>
      <c r="I842" s="7"/>
      <c r="K842" s="62"/>
      <c r="L842" s="7"/>
      <c r="M842" s="7"/>
      <c r="O842" s="7"/>
      <c r="Q842" s="7"/>
      <c r="S842" s="7"/>
      <c r="U842" s="7"/>
      <c r="W842" s="7"/>
    </row>
    <row r="843">
      <c r="E843" s="67"/>
      <c r="F843" s="7"/>
      <c r="G843" s="7"/>
      <c r="I843" s="7"/>
      <c r="K843" s="62"/>
      <c r="L843" s="7"/>
      <c r="M843" s="7"/>
      <c r="O843" s="7"/>
      <c r="Q843" s="7"/>
      <c r="S843" s="7"/>
      <c r="U843" s="7"/>
      <c r="W843" s="7"/>
    </row>
    <row r="844">
      <c r="E844" s="67"/>
      <c r="F844" s="7"/>
      <c r="G844" s="7"/>
      <c r="I844" s="7"/>
      <c r="K844" s="62"/>
      <c r="L844" s="7"/>
      <c r="M844" s="7"/>
      <c r="O844" s="7"/>
      <c r="Q844" s="7"/>
      <c r="S844" s="7"/>
      <c r="U844" s="7"/>
      <c r="W844" s="7"/>
    </row>
    <row r="845">
      <c r="E845" s="67"/>
      <c r="F845" s="7"/>
      <c r="G845" s="7"/>
      <c r="I845" s="7"/>
      <c r="K845" s="62"/>
      <c r="L845" s="7"/>
      <c r="M845" s="7"/>
      <c r="O845" s="7"/>
      <c r="Q845" s="7"/>
      <c r="S845" s="7"/>
      <c r="U845" s="7"/>
      <c r="W845" s="7"/>
    </row>
    <row r="846">
      <c r="E846" s="67"/>
      <c r="F846" s="7"/>
      <c r="G846" s="7"/>
      <c r="I846" s="7"/>
      <c r="K846" s="62"/>
      <c r="L846" s="7"/>
      <c r="M846" s="7"/>
      <c r="O846" s="7"/>
      <c r="Q846" s="7"/>
      <c r="S846" s="7"/>
      <c r="U846" s="7"/>
      <c r="W846" s="7"/>
    </row>
    <row r="847">
      <c r="E847" s="67"/>
      <c r="F847" s="7"/>
      <c r="G847" s="7"/>
      <c r="I847" s="7"/>
      <c r="K847" s="62"/>
      <c r="L847" s="7"/>
      <c r="M847" s="7"/>
      <c r="O847" s="7"/>
      <c r="Q847" s="7"/>
      <c r="S847" s="7"/>
      <c r="U847" s="7"/>
      <c r="W847" s="7"/>
    </row>
    <row r="848">
      <c r="E848" s="67"/>
      <c r="F848" s="7"/>
      <c r="G848" s="7"/>
      <c r="I848" s="7"/>
      <c r="K848" s="62"/>
      <c r="L848" s="7"/>
      <c r="M848" s="7"/>
      <c r="O848" s="7"/>
      <c r="Q848" s="7"/>
      <c r="S848" s="7"/>
      <c r="U848" s="7"/>
      <c r="W848" s="7"/>
    </row>
    <row r="849">
      <c r="E849" s="67"/>
      <c r="F849" s="7"/>
      <c r="G849" s="7"/>
      <c r="I849" s="7"/>
      <c r="K849" s="62"/>
      <c r="L849" s="7"/>
      <c r="M849" s="7"/>
      <c r="O849" s="7"/>
      <c r="Q849" s="7"/>
      <c r="S849" s="7"/>
      <c r="U849" s="7"/>
      <c r="W849" s="7"/>
    </row>
    <row r="850">
      <c r="E850" s="67"/>
      <c r="F850" s="7"/>
      <c r="G850" s="7"/>
      <c r="I850" s="7"/>
      <c r="K850" s="62"/>
      <c r="L850" s="7"/>
      <c r="M850" s="7"/>
      <c r="O850" s="7"/>
      <c r="Q850" s="7"/>
      <c r="S850" s="7"/>
      <c r="U850" s="7"/>
      <c r="W850" s="7"/>
    </row>
    <row r="851">
      <c r="E851" s="67"/>
      <c r="F851" s="7"/>
      <c r="G851" s="7"/>
      <c r="I851" s="7"/>
      <c r="K851" s="62"/>
      <c r="L851" s="7"/>
      <c r="M851" s="7"/>
      <c r="O851" s="7"/>
      <c r="Q851" s="7"/>
      <c r="S851" s="7"/>
      <c r="U851" s="7"/>
      <c r="W851" s="7"/>
    </row>
    <row r="852">
      <c r="E852" s="67"/>
      <c r="F852" s="7"/>
      <c r="G852" s="7"/>
      <c r="I852" s="7"/>
      <c r="K852" s="62"/>
      <c r="L852" s="7"/>
      <c r="M852" s="7"/>
      <c r="O852" s="7"/>
      <c r="Q852" s="7"/>
      <c r="S852" s="7"/>
      <c r="U852" s="7"/>
      <c r="W852" s="7"/>
    </row>
    <row r="853">
      <c r="E853" s="67"/>
      <c r="F853" s="7"/>
      <c r="G853" s="7"/>
      <c r="I853" s="7"/>
      <c r="K853" s="62"/>
      <c r="L853" s="7"/>
      <c r="M853" s="7"/>
      <c r="O853" s="7"/>
      <c r="Q853" s="7"/>
      <c r="S853" s="7"/>
      <c r="U853" s="7"/>
      <c r="W853" s="7"/>
    </row>
    <row r="854">
      <c r="E854" s="67"/>
      <c r="F854" s="7"/>
      <c r="G854" s="7"/>
      <c r="I854" s="7"/>
      <c r="K854" s="62"/>
      <c r="L854" s="7"/>
      <c r="M854" s="7"/>
      <c r="O854" s="7"/>
      <c r="Q854" s="7"/>
      <c r="S854" s="7"/>
      <c r="U854" s="7"/>
      <c r="W854" s="7"/>
    </row>
    <row r="855">
      <c r="E855" s="67"/>
      <c r="F855" s="7"/>
      <c r="G855" s="7"/>
      <c r="I855" s="7"/>
      <c r="K855" s="62"/>
      <c r="L855" s="7"/>
      <c r="M855" s="7"/>
      <c r="O855" s="7"/>
      <c r="Q855" s="7"/>
      <c r="S855" s="7"/>
      <c r="U855" s="7"/>
      <c r="W855" s="7"/>
    </row>
    <row r="856">
      <c r="E856" s="67"/>
      <c r="F856" s="7"/>
      <c r="G856" s="7"/>
      <c r="I856" s="7"/>
      <c r="K856" s="62"/>
      <c r="L856" s="7"/>
      <c r="M856" s="7"/>
      <c r="O856" s="7"/>
      <c r="Q856" s="7"/>
      <c r="S856" s="7"/>
      <c r="U856" s="7"/>
      <c r="W856" s="7"/>
    </row>
    <row r="857">
      <c r="E857" s="67"/>
      <c r="F857" s="7"/>
      <c r="G857" s="7"/>
      <c r="I857" s="7"/>
      <c r="K857" s="62"/>
      <c r="L857" s="7"/>
      <c r="M857" s="7"/>
      <c r="O857" s="7"/>
      <c r="Q857" s="7"/>
      <c r="S857" s="7"/>
      <c r="U857" s="7"/>
      <c r="W857" s="7"/>
    </row>
    <row r="858">
      <c r="E858" s="67"/>
      <c r="F858" s="7"/>
      <c r="G858" s="7"/>
      <c r="I858" s="7"/>
      <c r="K858" s="62"/>
      <c r="L858" s="7"/>
      <c r="M858" s="7"/>
      <c r="O858" s="7"/>
      <c r="Q858" s="7"/>
      <c r="S858" s="7"/>
      <c r="U858" s="7"/>
      <c r="W858" s="7"/>
    </row>
    <row r="859">
      <c r="E859" s="67"/>
      <c r="F859" s="7"/>
      <c r="G859" s="7"/>
      <c r="I859" s="7"/>
      <c r="K859" s="62"/>
      <c r="L859" s="7"/>
      <c r="M859" s="7"/>
      <c r="O859" s="7"/>
      <c r="Q859" s="7"/>
      <c r="S859" s="7"/>
      <c r="U859" s="7"/>
      <c r="W859" s="7"/>
    </row>
    <row r="860">
      <c r="E860" s="67"/>
      <c r="F860" s="7"/>
      <c r="G860" s="7"/>
      <c r="I860" s="7"/>
      <c r="K860" s="62"/>
      <c r="L860" s="7"/>
      <c r="M860" s="7"/>
      <c r="O860" s="7"/>
      <c r="Q860" s="7"/>
      <c r="S860" s="7"/>
      <c r="U860" s="7"/>
      <c r="W860" s="7"/>
    </row>
    <row r="861">
      <c r="E861" s="67"/>
      <c r="F861" s="7"/>
      <c r="G861" s="7"/>
      <c r="I861" s="7"/>
      <c r="K861" s="62"/>
      <c r="L861" s="7"/>
      <c r="M861" s="7"/>
      <c r="O861" s="7"/>
      <c r="Q861" s="7"/>
      <c r="S861" s="7"/>
      <c r="U861" s="7"/>
      <c r="W861" s="7"/>
    </row>
    <row r="862">
      <c r="E862" s="67"/>
      <c r="F862" s="7"/>
      <c r="G862" s="7"/>
      <c r="I862" s="7"/>
      <c r="K862" s="62"/>
      <c r="L862" s="7"/>
      <c r="M862" s="7"/>
      <c r="O862" s="7"/>
      <c r="Q862" s="7"/>
      <c r="S862" s="7"/>
      <c r="U862" s="7"/>
      <c r="W862" s="7"/>
    </row>
    <row r="863">
      <c r="E863" s="67"/>
      <c r="F863" s="7"/>
      <c r="G863" s="7"/>
      <c r="I863" s="7"/>
      <c r="K863" s="62"/>
      <c r="L863" s="7"/>
      <c r="M863" s="7"/>
      <c r="O863" s="7"/>
      <c r="Q863" s="7"/>
      <c r="S863" s="7"/>
      <c r="U863" s="7"/>
      <c r="W863" s="7"/>
    </row>
    <row r="864">
      <c r="E864" s="67"/>
      <c r="F864" s="7"/>
      <c r="G864" s="7"/>
      <c r="I864" s="7"/>
      <c r="K864" s="62"/>
      <c r="L864" s="7"/>
      <c r="M864" s="7"/>
      <c r="O864" s="7"/>
      <c r="Q864" s="7"/>
      <c r="S864" s="7"/>
      <c r="U864" s="7"/>
      <c r="W864" s="7"/>
    </row>
    <row r="865">
      <c r="E865" s="67"/>
      <c r="F865" s="7"/>
      <c r="G865" s="7"/>
      <c r="I865" s="7"/>
      <c r="K865" s="62"/>
      <c r="L865" s="7"/>
      <c r="M865" s="7"/>
      <c r="O865" s="7"/>
      <c r="Q865" s="7"/>
      <c r="S865" s="7"/>
      <c r="U865" s="7"/>
      <c r="W865" s="7"/>
    </row>
    <row r="866">
      <c r="E866" s="67"/>
      <c r="F866" s="7"/>
      <c r="G866" s="7"/>
      <c r="I866" s="7"/>
      <c r="K866" s="62"/>
      <c r="L866" s="7"/>
      <c r="M866" s="7"/>
      <c r="O866" s="7"/>
      <c r="Q866" s="7"/>
      <c r="S866" s="7"/>
      <c r="U866" s="7"/>
      <c r="W866" s="7"/>
    </row>
    <row r="867">
      <c r="E867" s="67"/>
      <c r="F867" s="7"/>
      <c r="G867" s="7"/>
      <c r="I867" s="7"/>
      <c r="K867" s="62"/>
      <c r="L867" s="7"/>
      <c r="M867" s="7"/>
      <c r="O867" s="7"/>
      <c r="Q867" s="7"/>
      <c r="S867" s="7"/>
      <c r="U867" s="7"/>
      <c r="W867" s="7"/>
    </row>
    <row r="868">
      <c r="E868" s="67"/>
      <c r="F868" s="7"/>
      <c r="G868" s="7"/>
      <c r="I868" s="7"/>
      <c r="K868" s="62"/>
      <c r="L868" s="7"/>
      <c r="M868" s="7"/>
      <c r="O868" s="7"/>
      <c r="Q868" s="7"/>
      <c r="S868" s="7"/>
      <c r="U868" s="7"/>
      <c r="W868" s="7"/>
    </row>
    <row r="869">
      <c r="E869" s="67"/>
      <c r="F869" s="7"/>
      <c r="G869" s="7"/>
      <c r="I869" s="7"/>
      <c r="K869" s="62"/>
      <c r="L869" s="7"/>
      <c r="M869" s="7"/>
      <c r="O869" s="7"/>
      <c r="Q869" s="7"/>
      <c r="S869" s="7"/>
      <c r="U869" s="7"/>
      <c r="W869" s="7"/>
    </row>
    <row r="870">
      <c r="E870" s="67"/>
      <c r="F870" s="7"/>
      <c r="G870" s="7"/>
      <c r="I870" s="7"/>
      <c r="K870" s="62"/>
      <c r="L870" s="7"/>
      <c r="M870" s="7"/>
      <c r="O870" s="7"/>
      <c r="Q870" s="7"/>
      <c r="S870" s="7"/>
      <c r="U870" s="7"/>
      <c r="W870" s="7"/>
    </row>
    <row r="871">
      <c r="E871" s="67"/>
      <c r="F871" s="7"/>
      <c r="G871" s="7"/>
      <c r="I871" s="7"/>
      <c r="K871" s="62"/>
      <c r="L871" s="7"/>
      <c r="M871" s="7"/>
      <c r="O871" s="7"/>
      <c r="Q871" s="7"/>
      <c r="S871" s="7"/>
      <c r="U871" s="7"/>
      <c r="W871" s="7"/>
    </row>
    <row r="872">
      <c r="E872" s="67"/>
      <c r="F872" s="7"/>
      <c r="G872" s="7"/>
      <c r="I872" s="7"/>
      <c r="K872" s="62"/>
      <c r="L872" s="7"/>
      <c r="M872" s="7"/>
      <c r="O872" s="7"/>
      <c r="Q872" s="7"/>
      <c r="S872" s="7"/>
      <c r="U872" s="7"/>
      <c r="W872" s="7"/>
    </row>
    <row r="873">
      <c r="E873" s="67"/>
      <c r="F873" s="7"/>
      <c r="G873" s="7"/>
      <c r="I873" s="7"/>
      <c r="K873" s="62"/>
      <c r="L873" s="7"/>
      <c r="M873" s="7"/>
      <c r="O873" s="7"/>
      <c r="Q873" s="7"/>
      <c r="S873" s="7"/>
      <c r="U873" s="7"/>
      <c r="W873" s="7"/>
    </row>
    <row r="874">
      <c r="E874" s="67"/>
      <c r="F874" s="7"/>
      <c r="G874" s="7"/>
      <c r="I874" s="7"/>
      <c r="K874" s="62"/>
      <c r="L874" s="7"/>
      <c r="M874" s="7"/>
      <c r="O874" s="7"/>
      <c r="Q874" s="7"/>
      <c r="S874" s="7"/>
      <c r="U874" s="7"/>
      <c r="W874" s="7"/>
    </row>
    <row r="875">
      <c r="E875" s="67"/>
      <c r="F875" s="7"/>
      <c r="G875" s="7"/>
      <c r="I875" s="7"/>
      <c r="K875" s="62"/>
      <c r="L875" s="7"/>
      <c r="M875" s="7"/>
      <c r="O875" s="7"/>
      <c r="Q875" s="7"/>
      <c r="S875" s="7"/>
      <c r="U875" s="7"/>
      <c r="W875" s="7"/>
    </row>
    <row r="876">
      <c r="E876" s="67"/>
      <c r="F876" s="7"/>
      <c r="G876" s="7"/>
      <c r="I876" s="7"/>
      <c r="K876" s="62"/>
      <c r="L876" s="7"/>
      <c r="M876" s="7"/>
      <c r="O876" s="7"/>
      <c r="Q876" s="7"/>
      <c r="S876" s="7"/>
      <c r="U876" s="7"/>
      <c r="W876" s="7"/>
    </row>
    <row r="877">
      <c r="E877" s="67"/>
      <c r="F877" s="7"/>
      <c r="G877" s="7"/>
      <c r="I877" s="7"/>
      <c r="K877" s="62"/>
      <c r="L877" s="7"/>
      <c r="M877" s="7"/>
      <c r="O877" s="7"/>
      <c r="Q877" s="7"/>
      <c r="S877" s="7"/>
      <c r="U877" s="7"/>
      <c r="W877" s="7"/>
    </row>
    <row r="878">
      <c r="E878" s="67"/>
      <c r="F878" s="7"/>
      <c r="G878" s="7"/>
      <c r="I878" s="7"/>
      <c r="K878" s="62"/>
      <c r="L878" s="7"/>
      <c r="M878" s="7"/>
      <c r="O878" s="7"/>
      <c r="Q878" s="7"/>
      <c r="S878" s="7"/>
      <c r="U878" s="7"/>
      <c r="W878" s="7"/>
    </row>
    <row r="879">
      <c r="E879" s="67"/>
      <c r="F879" s="7"/>
      <c r="G879" s="7"/>
      <c r="I879" s="7"/>
      <c r="K879" s="62"/>
      <c r="L879" s="7"/>
      <c r="M879" s="7"/>
      <c r="O879" s="7"/>
      <c r="Q879" s="7"/>
      <c r="S879" s="7"/>
      <c r="U879" s="7"/>
      <c r="W879" s="7"/>
    </row>
    <row r="880">
      <c r="E880" s="67"/>
      <c r="F880" s="7"/>
      <c r="G880" s="7"/>
      <c r="I880" s="7"/>
      <c r="K880" s="62"/>
      <c r="L880" s="7"/>
      <c r="M880" s="7"/>
      <c r="O880" s="7"/>
      <c r="Q880" s="7"/>
      <c r="S880" s="7"/>
      <c r="U880" s="7"/>
      <c r="W880" s="7"/>
    </row>
    <row r="881">
      <c r="E881" s="67"/>
      <c r="F881" s="7"/>
      <c r="G881" s="7"/>
      <c r="I881" s="7"/>
      <c r="K881" s="62"/>
      <c r="L881" s="7"/>
      <c r="M881" s="7"/>
      <c r="O881" s="7"/>
      <c r="Q881" s="7"/>
      <c r="S881" s="7"/>
      <c r="U881" s="7"/>
      <c r="W881" s="7"/>
    </row>
    <row r="882">
      <c r="E882" s="67"/>
      <c r="F882" s="7"/>
      <c r="G882" s="7"/>
      <c r="I882" s="7"/>
      <c r="K882" s="62"/>
      <c r="L882" s="7"/>
      <c r="M882" s="7"/>
      <c r="O882" s="7"/>
      <c r="Q882" s="7"/>
      <c r="S882" s="7"/>
      <c r="U882" s="7"/>
      <c r="W882" s="7"/>
    </row>
    <row r="883">
      <c r="E883" s="67"/>
      <c r="F883" s="7"/>
      <c r="G883" s="7"/>
      <c r="I883" s="7"/>
      <c r="K883" s="62"/>
      <c r="L883" s="7"/>
      <c r="M883" s="7"/>
      <c r="O883" s="7"/>
      <c r="Q883" s="7"/>
      <c r="S883" s="7"/>
      <c r="U883" s="7"/>
      <c r="W883" s="7"/>
    </row>
    <row r="884">
      <c r="E884" s="67"/>
      <c r="F884" s="7"/>
      <c r="G884" s="7"/>
      <c r="I884" s="7"/>
      <c r="K884" s="62"/>
      <c r="L884" s="7"/>
      <c r="M884" s="7"/>
      <c r="O884" s="7"/>
      <c r="Q884" s="7"/>
      <c r="S884" s="7"/>
      <c r="U884" s="7"/>
      <c r="W884" s="7"/>
    </row>
    <row r="885">
      <c r="E885" s="67"/>
      <c r="F885" s="7"/>
      <c r="G885" s="7"/>
      <c r="I885" s="7"/>
      <c r="K885" s="62"/>
      <c r="L885" s="7"/>
      <c r="M885" s="7"/>
      <c r="O885" s="7"/>
      <c r="Q885" s="7"/>
      <c r="S885" s="7"/>
      <c r="U885" s="7"/>
      <c r="W885" s="7"/>
    </row>
    <row r="886">
      <c r="E886" s="67"/>
      <c r="F886" s="7"/>
      <c r="G886" s="7"/>
      <c r="I886" s="7"/>
      <c r="K886" s="62"/>
      <c r="L886" s="7"/>
      <c r="M886" s="7"/>
      <c r="O886" s="7"/>
      <c r="Q886" s="7"/>
      <c r="S886" s="7"/>
      <c r="U886" s="7"/>
      <c r="W886" s="7"/>
    </row>
    <row r="887">
      <c r="E887" s="67"/>
      <c r="F887" s="7"/>
      <c r="G887" s="7"/>
      <c r="I887" s="7"/>
      <c r="K887" s="62"/>
      <c r="L887" s="7"/>
      <c r="M887" s="7"/>
      <c r="O887" s="7"/>
      <c r="Q887" s="7"/>
      <c r="S887" s="7"/>
      <c r="U887" s="7"/>
      <c r="W887" s="7"/>
    </row>
    <row r="888">
      <c r="E888" s="67"/>
      <c r="F888" s="7"/>
      <c r="G888" s="7"/>
      <c r="I888" s="7"/>
      <c r="K888" s="62"/>
      <c r="L888" s="7"/>
      <c r="M888" s="7"/>
      <c r="O888" s="7"/>
      <c r="Q888" s="7"/>
      <c r="S888" s="7"/>
      <c r="U888" s="7"/>
      <c r="W888" s="7"/>
    </row>
    <row r="889">
      <c r="E889" s="67"/>
      <c r="F889" s="7"/>
      <c r="G889" s="7"/>
      <c r="I889" s="7"/>
      <c r="K889" s="62"/>
      <c r="L889" s="7"/>
      <c r="M889" s="7"/>
      <c r="O889" s="7"/>
      <c r="Q889" s="7"/>
      <c r="S889" s="7"/>
      <c r="U889" s="7"/>
      <c r="W889" s="7"/>
    </row>
    <row r="890">
      <c r="E890" s="67"/>
      <c r="F890" s="7"/>
      <c r="G890" s="7"/>
      <c r="I890" s="7"/>
      <c r="K890" s="62"/>
      <c r="L890" s="7"/>
      <c r="M890" s="7"/>
      <c r="O890" s="7"/>
      <c r="Q890" s="7"/>
      <c r="S890" s="7"/>
      <c r="U890" s="7"/>
      <c r="W890" s="7"/>
    </row>
    <row r="891">
      <c r="E891" s="67"/>
      <c r="F891" s="7"/>
      <c r="G891" s="7"/>
      <c r="I891" s="7"/>
      <c r="K891" s="62"/>
      <c r="L891" s="7"/>
      <c r="M891" s="7"/>
      <c r="O891" s="7"/>
      <c r="Q891" s="7"/>
      <c r="S891" s="7"/>
      <c r="U891" s="7"/>
      <c r="W891" s="7"/>
    </row>
    <row r="892">
      <c r="E892" s="67"/>
      <c r="F892" s="7"/>
      <c r="G892" s="7"/>
      <c r="I892" s="7"/>
      <c r="K892" s="62"/>
      <c r="L892" s="7"/>
      <c r="M892" s="7"/>
      <c r="O892" s="7"/>
      <c r="Q892" s="7"/>
      <c r="S892" s="7"/>
      <c r="U892" s="7"/>
      <c r="W892" s="7"/>
    </row>
    <row r="893">
      <c r="E893" s="67"/>
      <c r="F893" s="7"/>
      <c r="G893" s="7"/>
      <c r="I893" s="7"/>
      <c r="K893" s="62"/>
      <c r="L893" s="7"/>
      <c r="M893" s="7"/>
      <c r="O893" s="7"/>
      <c r="Q893" s="7"/>
      <c r="S893" s="7"/>
      <c r="U893" s="7"/>
      <c r="W893" s="7"/>
    </row>
    <row r="894">
      <c r="E894" s="67"/>
      <c r="F894" s="7"/>
      <c r="G894" s="7"/>
      <c r="I894" s="7"/>
      <c r="K894" s="62"/>
      <c r="L894" s="7"/>
      <c r="M894" s="7"/>
      <c r="O894" s="7"/>
      <c r="Q894" s="7"/>
      <c r="S894" s="7"/>
      <c r="U894" s="7"/>
      <c r="W894" s="7"/>
    </row>
    <row r="895">
      <c r="E895" s="67"/>
      <c r="F895" s="7"/>
      <c r="G895" s="7"/>
      <c r="I895" s="7"/>
      <c r="K895" s="62"/>
      <c r="L895" s="7"/>
      <c r="M895" s="7"/>
      <c r="O895" s="7"/>
      <c r="Q895" s="7"/>
      <c r="S895" s="7"/>
      <c r="U895" s="7"/>
      <c r="W895" s="7"/>
    </row>
    <row r="896">
      <c r="E896" s="67"/>
      <c r="F896" s="7"/>
      <c r="G896" s="7"/>
      <c r="I896" s="7"/>
      <c r="K896" s="62"/>
      <c r="L896" s="7"/>
      <c r="M896" s="7"/>
      <c r="O896" s="7"/>
      <c r="Q896" s="7"/>
      <c r="S896" s="7"/>
      <c r="U896" s="7"/>
      <c r="W896" s="7"/>
    </row>
    <row r="897">
      <c r="E897" s="67"/>
      <c r="F897" s="7"/>
      <c r="G897" s="7"/>
      <c r="I897" s="7"/>
      <c r="K897" s="62"/>
      <c r="L897" s="7"/>
      <c r="M897" s="7"/>
      <c r="O897" s="7"/>
      <c r="Q897" s="7"/>
      <c r="S897" s="7"/>
      <c r="U897" s="7"/>
      <c r="W897" s="7"/>
    </row>
    <row r="898">
      <c r="E898" s="67"/>
      <c r="F898" s="7"/>
      <c r="G898" s="7"/>
      <c r="I898" s="7"/>
      <c r="K898" s="62"/>
      <c r="L898" s="7"/>
      <c r="M898" s="7"/>
      <c r="O898" s="7"/>
      <c r="Q898" s="7"/>
      <c r="S898" s="7"/>
      <c r="U898" s="7"/>
      <c r="W898" s="7"/>
    </row>
    <row r="899">
      <c r="E899" s="67"/>
      <c r="F899" s="7"/>
      <c r="G899" s="7"/>
      <c r="I899" s="7"/>
      <c r="K899" s="62"/>
      <c r="L899" s="7"/>
      <c r="M899" s="7"/>
      <c r="O899" s="7"/>
      <c r="Q899" s="7"/>
      <c r="S899" s="7"/>
      <c r="U899" s="7"/>
      <c r="W899" s="7"/>
    </row>
    <row r="900">
      <c r="E900" s="67"/>
      <c r="F900" s="7"/>
      <c r="G900" s="7"/>
      <c r="I900" s="7"/>
      <c r="K900" s="62"/>
      <c r="L900" s="7"/>
      <c r="M900" s="7"/>
      <c r="O900" s="7"/>
      <c r="Q900" s="7"/>
      <c r="S900" s="7"/>
      <c r="U900" s="7"/>
      <c r="W900" s="7"/>
    </row>
    <row r="901">
      <c r="E901" s="67"/>
      <c r="F901" s="7"/>
      <c r="G901" s="7"/>
      <c r="I901" s="7"/>
      <c r="K901" s="62"/>
      <c r="L901" s="7"/>
      <c r="M901" s="7"/>
      <c r="O901" s="7"/>
      <c r="Q901" s="7"/>
      <c r="S901" s="7"/>
      <c r="U901" s="7"/>
      <c r="W901" s="7"/>
    </row>
    <row r="902">
      <c r="E902" s="67"/>
      <c r="F902" s="7"/>
      <c r="G902" s="7"/>
      <c r="I902" s="7"/>
      <c r="K902" s="62"/>
      <c r="L902" s="7"/>
      <c r="M902" s="7"/>
      <c r="O902" s="7"/>
      <c r="Q902" s="7"/>
      <c r="S902" s="7"/>
      <c r="U902" s="7"/>
      <c r="W902" s="7"/>
    </row>
    <row r="903">
      <c r="E903" s="67"/>
      <c r="F903" s="7"/>
      <c r="G903" s="7"/>
      <c r="I903" s="7"/>
      <c r="K903" s="62"/>
      <c r="L903" s="7"/>
      <c r="M903" s="7"/>
      <c r="O903" s="7"/>
      <c r="Q903" s="7"/>
      <c r="S903" s="7"/>
      <c r="U903" s="7"/>
      <c r="W903" s="7"/>
    </row>
    <row r="904">
      <c r="E904" s="67"/>
      <c r="F904" s="7"/>
      <c r="G904" s="7"/>
      <c r="I904" s="7"/>
      <c r="K904" s="62"/>
      <c r="L904" s="7"/>
      <c r="M904" s="7"/>
      <c r="O904" s="7"/>
      <c r="Q904" s="7"/>
      <c r="S904" s="7"/>
      <c r="U904" s="7"/>
      <c r="W904" s="7"/>
    </row>
    <row r="905">
      <c r="E905" s="67"/>
      <c r="F905" s="7"/>
      <c r="G905" s="7"/>
      <c r="I905" s="7"/>
      <c r="K905" s="62"/>
      <c r="L905" s="7"/>
      <c r="M905" s="7"/>
      <c r="O905" s="7"/>
      <c r="Q905" s="7"/>
      <c r="S905" s="7"/>
      <c r="U905" s="7"/>
      <c r="W905" s="7"/>
    </row>
    <row r="906">
      <c r="E906" s="67"/>
      <c r="F906" s="7"/>
      <c r="G906" s="7"/>
      <c r="I906" s="7"/>
      <c r="K906" s="62"/>
      <c r="L906" s="7"/>
      <c r="M906" s="7"/>
      <c r="O906" s="7"/>
      <c r="Q906" s="7"/>
      <c r="S906" s="7"/>
      <c r="U906" s="7"/>
      <c r="W906" s="7"/>
    </row>
    <row r="907">
      <c r="E907" s="67"/>
      <c r="F907" s="7"/>
      <c r="G907" s="7"/>
      <c r="I907" s="7"/>
      <c r="K907" s="62"/>
      <c r="L907" s="7"/>
      <c r="M907" s="7"/>
      <c r="O907" s="7"/>
      <c r="Q907" s="7"/>
      <c r="S907" s="7"/>
      <c r="U907" s="7"/>
      <c r="W907" s="7"/>
    </row>
    <row r="908">
      <c r="E908" s="67"/>
      <c r="F908" s="7"/>
      <c r="G908" s="7"/>
      <c r="I908" s="7"/>
      <c r="K908" s="62"/>
      <c r="L908" s="7"/>
      <c r="M908" s="7"/>
      <c r="O908" s="7"/>
      <c r="Q908" s="7"/>
      <c r="S908" s="7"/>
      <c r="U908" s="7"/>
      <c r="W908" s="7"/>
    </row>
    <row r="909">
      <c r="E909" s="67"/>
      <c r="F909" s="7"/>
      <c r="G909" s="7"/>
      <c r="I909" s="7"/>
      <c r="K909" s="62"/>
      <c r="L909" s="7"/>
      <c r="M909" s="7"/>
      <c r="O909" s="7"/>
      <c r="Q909" s="7"/>
      <c r="S909" s="7"/>
      <c r="U909" s="7"/>
      <c r="W909" s="7"/>
    </row>
    <row r="910">
      <c r="E910" s="67"/>
      <c r="F910" s="7"/>
      <c r="G910" s="7"/>
      <c r="I910" s="7"/>
      <c r="K910" s="62"/>
      <c r="L910" s="7"/>
      <c r="M910" s="7"/>
      <c r="O910" s="7"/>
      <c r="Q910" s="7"/>
      <c r="S910" s="7"/>
      <c r="U910" s="7"/>
      <c r="W910" s="7"/>
    </row>
    <row r="911">
      <c r="E911" s="67"/>
      <c r="F911" s="7"/>
      <c r="G911" s="7"/>
      <c r="I911" s="7"/>
      <c r="K911" s="62"/>
      <c r="L911" s="7"/>
      <c r="M911" s="7"/>
      <c r="O911" s="7"/>
      <c r="Q911" s="7"/>
      <c r="S911" s="7"/>
      <c r="U911" s="7"/>
      <c r="W911" s="7"/>
    </row>
    <row r="912">
      <c r="E912" s="67"/>
      <c r="F912" s="7"/>
      <c r="G912" s="7"/>
      <c r="I912" s="7"/>
      <c r="K912" s="62"/>
      <c r="L912" s="7"/>
      <c r="M912" s="7"/>
      <c r="O912" s="7"/>
      <c r="Q912" s="7"/>
      <c r="S912" s="7"/>
      <c r="U912" s="7"/>
      <c r="W912" s="7"/>
    </row>
    <row r="913">
      <c r="E913" s="67"/>
      <c r="F913" s="7"/>
      <c r="G913" s="7"/>
      <c r="I913" s="7"/>
      <c r="K913" s="62"/>
      <c r="L913" s="7"/>
      <c r="M913" s="7"/>
      <c r="O913" s="7"/>
      <c r="Q913" s="7"/>
      <c r="S913" s="7"/>
      <c r="U913" s="7"/>
      <c r="W913" s="7"/>
    </row>
    <row r="914">
      <c r="E914" s="67"/>
      <c r="F914" s="7"/>
      <c r="G914" s="7"/>
      <c r="I914" s="7"/>
      <c r="K914" s="62"/>
      <c r="L914" s="7"/>
      <c r="M914" s="7"/>
      <c r="O914" s="7"/>
      <c r="Q914" s="7"/>
      <c r="S914" s="7"/>
      <c r="U914" s="7"/>
      <c r="W914" s="7"/>
    </row>
    <row r="915">
      <c r="E915" s="67"/>
      <c r="F915" s="7"/>
      <c r="G915" s="7"/>
      <c r="I915" s="7"/>
      <c r="K915" s="62"/>
      <c r="L915" s="7"/>
      <c r="M915" s="7"/>
      <c r="O915" s="7"/>
      <c r="Q915" s="7"/>
      <c r="S915" s="7"/>
      <c r="U915" s="7"/>
      <c r="W915" s="7"/>
    </row>
    <row r="916">
      <c r="E916" s="67"/>
      <c r="F916" s="7"/>
      <c r="G916" s="7"/>
      <c r="I916" s="7"/>
      <c r="K916" s="62"/>
      <c r="L916" s="7"/>
      <c r="M916" s="7"/>
      <c r="O916" s="7"/>
      <c r="Q916" s="7"/>
      <c r="S916" s="7"/>
      <c r="U916" s="7"/>
      <c r="W916" s="7"/>
    </row>
    <row r="917">
      <c r="E917" s="67"/>
      <c r="F917" s="7"/>
      <c r="G917" s="7"/>
      <c r="I917" s="7"/>
      <c r="K917" s="62"/>
      <c r="L917" s="7"/>
      <c r="M917" s="7"/>
      <c r="O917" s="7"/>
      <c r="Q917" s="7"/>
      <c r="S917" s="7"/>
      <c r="U917" s="7"/>
      <c r="W917" s="7"/>
    </row>
    <row r="918">
      <c r="E918" s="67"/>
      <c r="F918" s="7"/>
      <c r="G918" s="7"/>
      <c r="I918" s="7"/>
      <c r="K918" s="62"/>
      <c r="L918" s="7"/>
      <c r="M918" s="7"/>
      <c r="O918" s="7"/>
      <c r="Q918" s="7"/>
      <c r="S918" s="7"/>
      <c r="U918" s="7"/>
      <c r="W918" s="7"/>
    </row>
    <row r="919">
      <c r="E919" s="67"/>
      <c r="F919" s="7"/>
      <c r="G919" s="7"/>
      <c r="I919" s="7"/>
      <c r="K919" s="62"/>
      <c r="L919" s="7"/>
      <c r="M919" s="7"/>
      <c r="O919" s="7"/>
      <c r="Q919" s="7"/>
      <c r="S919" s="7"/>
      <c r="U919" s="7"/>
      <c r="W919" s="7"/>
    </row>
    <row r="920">
      <c r="E920" s="67"/>
      <c r="F920" s="7"/>
      <c r="G920" s="7"/>
      <c r="I920" s="7"/>
      <c r="K920" s="62"/>
      <c r="L920" s="7"/>
      <c r="M920" s="7"/>
      <c r="O920" s="7"/>
      <c r="Q920" s="7"/>
      <c r="S920" s="7"/>
      <c r="U920" s="7"/>
      <c r="W920" s="7"/>
    </row>
    <row r="921">
      <c r="E921" s="67"/>
      <c r="F921" s="7"/>
      <c r="G921" s="7"/>
      <c r="I921" s="7"/>
      <c r="K921" s="62"/>
      <c r="L921" s="7"/>
      <c r="M921" s="7"/>
      <c r="O921" s="7"/>
      <c r="Q921" s="7"/>
      <c r="S921" s="7"/>
      <c r="U921" s="7"/>
      <c r="W921" s="7"/>
    </row>
    <row r="922">
      <c r="E922" s="67"/>
      <c r="F922" s="7"/>
      <c r="G922" s="7"/>
      <c r="I922" s="7"/>
      <c r="K922" s="62"/>
      <c r="L922" s="7"/>
      <c r="M922" s="7"/>
      <c r="O922" s="7"/>
      <c r="Q922" s="7"/>
      <c r="S922" s="7"/>
      <c r="U922" s="7"/>
      <c r="W922" s="7"/>
    </row>
    <row r="923">
      <c r="E923" s="67"/>
      <c r="F923" s="7"/>
      <c r="G923" s="7"/>
      <c r="I923" s="7"/>
      <c r="K923" s="62"/>
      <c r="L923" s="7"/>
      <c r="M923" s="7"/>
      <c r="O923" s="7"/>
      <c r="Q923" s="7"/>
      <c r="S923" s="7"/>
      <c r="U923" s="7"/>
      <c r="W923" s="7"/>
    </row>
    <row r="924">
      <c r="E924" s="67"/>
      <c r="F924" s="7"/>
      <c r="G924" s="7"/>
      <c r="I924" s="7"/>
      <c r="K924" s="62"/>
      <c r="L924" s="7"/>
      <c r="M924" s="7"/>
      <c r="O924" s="7"/>
      <c r="Q924" s="7"/>
      <c r="S924" s="7"/>
      <c r="U924" s="7"/>
      <c r="W924" s="7"/>
    </row>
    <row r="925">
      <c r="E925" s="67"/>
      <c r="F925" s="7"/>
      <c r="G925" s="7"/>
      <c r="I925" s="7"/>
      <c r="K925" s="62"/>
      <c r="L925" s="7"/>
      <c r="M925" s="7"/>
      <c r="O925" s="7"/>
      <c r="Q925" s="7"/>
      <c r="S925" s="7"/>
      <c r="U925" s="7"/>
      <c r="W925" s="7"/>
    </row>
    <row r="926">
      <c r="E926" s="67"/>
      <c r="F926" s="7"/>
      <c r="G926" s="7"/>
      <c r="I926" s="7"/>
      <c r="K926" s="62"/>
      <c r="L926" s="7"/>
      <c r="M926" s="7"/>
      <c r="O926" s="7"/>
      <c r="Q926" s="7"/>
      <c r="S926" s="7"/>
      <c r="U926" s="7"/>
      <c r="W926" s="7"/>
    </row>
    <row r="927">
      <c r="E927" s="67"/>
      <c r="F927" s="7"/>
      <c r="G927" s="7"/>
      <c r="I927" s="7"/>
      <c r="K927" s="62"/>
      <c r="L927" s="7"/>
      <c r="M927" s="7"/>
      <c r="O927" s="7"/>
      <c r="Q927" s="7"/>
      <c r="S927" s="7"/>
      <c r="U927" s="7"/>
      <c r="W927" s="7"/>
    </row>
    <row r="928">
      <c r="E928" s="67"/>
      <c r="F928" s="7"/>
      <c r="G928" s="7"/>
      <c r="I928" s="7"/>
      <c r="K928" s="62"/>
      <c r="L928" s="7"/>
      <c r="M928" s="7"/>
      <c r="O928" s="7"/>
      <c r="Q928" s="7"/>
      <c r="S928" s="7"/>
      <c r="U928" s="7"/>
      <c r="W928" s="7"/>
    </row>
    <row r="929">
      <c r="E929" s="67"/>
      <c r="F929" s="7"/>
      <c r="G929" s="7"/>
      <c r="I929" s="7"/>
      <c r="K929" s="62"/>
      <c r="L929" s="7"/>
      <c r="M929" s="7"/>
      <c r="O929" s="7"/>
      <c r="Q929" s="7"/>
      <c r="S929" s="7"/>
      <c r="U929" s="7"/>
      <c r="W929" s="7"/>
    </row>
    <row r="930">
      <c r="E930" s="67"/>
      <c r="F930" s="7"/>
      <c r="G930" s="7"/>
      <c r="I930" s="7"/>
      <c r="K930" s="62"/>
      <c r="L930" s="7"/>
      <c r="M930" s="7"/>
      <c r="O930" s="7"/>
      <c r="Q930" s="7"/>
      <c r="S930" s="7"/>
      <c r="U930" s="7"/>
      <c r="W930" s="7"/>
    </row>
    <row r="931">
      <c r="E931" s="67"/>
      <c r="F931" s="7"/>
      <c r="G931" s="7"/>
      <c r="I931" s="7"/>
      <c r="K931" s="62"/>
      <c r="L931" s="7"/>
      <c r="M931" s="7"/>
      <c r="O931" s="7"/>
      <c r="Q931" s="7"/>
      <c r="S931" s="7"/>
      <c r="U931" s="7"/>
      <c r="W931" s="7"/>
    </row>
    <row r="932">
      <c r="E932" s="67"/>
      <c r="F932" s="7"/>
      <c r="G932" s="7"/>
      <c r="I932" s="7"/>
      <c r="K932" s="62"/>
      <c r="L932" s="7"/>
      <c r="M932" s="7"/>
      <c r="O932" s="7"/>
      <c r="Q932" s="7"/>
      <c r="S932" s="7"/>
      <c r="U932" s="7"/>
      <c r="W932" s="7"/>
    </row>
    <row r="933">
      <c r="E933" s="67"/>
      <c r="F933" s="7"/>
      <c r="G933" s="7"/>
      <c r="I933" s="7"/>
      <c r="K933" s="62"/>
      <c r="L933" s="7"/>
      <c r="M933" s="7"/>
      <c r="O933" s="7"/>
      <c r="Q933" s="7"/>
      <c r="S933" s="7"/>
      <c r="U933" s="7"/>
      <c r="W933" s="7"/>
    </row>
    <row r="934">
      <c r="E934" s="67"/>
      <c r="F934" s="7"/>
      <c r="G934" s="7"/>
      <c r="I934" s="7"/>
      <c r="K934" s="62"/>
      <c r="L934" s="7"/>
      <c r="M934" s="7"/>
      <c r="O934" s="7"/>
      <c r="Q934" s="7"/>
      <c r="S934" s="7"/>
      <c r="U934" s="7"/>
      <c r="W934" s="7"/>
    </row>
    <row r="935">
      <c r="E935" s="67"/>
      <c r="F935" s="7"/>
      <c r="G935" s="7"/>
      <c r="I935" s="7"/>
      <c r="K935" s="62"/>
      <c r="L935" s="7"/>
      <c r="M935" s="7"/>
      <c r="O935" s="7"/>
      <c r="Q935" s="7"/>
      <c r="S935" s="7"/>
      <c r="U935" s="7"/>
      <c r="W935" s="7"/>
    </row>
    <row r="936">
      <c r="E936" s="67"/>
      <c r="F936" s="7"/>
      <c r="G936" s="7"/>
      <c r="I936" s="7"/>
      <c r="K936" s="62"/>
      <c r="L936" s="7"/>
      <c r="M936" s="7"/>
      <c r="O936" s="7"/>
      <c r="Q936" s="7"/>
      <c r="S936" s="7"/>
      <c r="U936" s="7"/>
      <c r="W936" s="7"/>
    </row>
    <row r="937">
      <c r="E937" s="67"/>
      <c r="F937" s="7"/>
      <c r="G937" s="7"/>
      <c r="I937" s="7"/>
      <c r="K937" s="62"/>
      <c r="L937" s="7"/>
      <c r="M937" s="7"/>
      <c r="O937" s="7"/>
      <c r="Q937" s="7"/>
      <c r="S937" s="7"/>
      <c r="U937" s="7"/>
      <c r="W937" s="7"/>
    </row>
    <row r="938">
      <c r="E938" s="67"/>
      <c r="F938" s="7"/>
      <c r="G938" s="7"/>
      <c r="I938" s="7"/>
      <c r="K938" s="62"/>
      <c r="L938" s="7"/>
      <c r="M938" s="7"/>
      <c r="O938" s="7"/>
      <c r="Q938" s="7"/>
      <c r="S938" s="7"/>
      <c r="U938" s="7"/>
      <c r="W938" s="7"/>
    </row>
    <row r="939">
      <c r="E939" s="67"/>
      <c r="F939" s="7"/>
      <c r="G939" s="7"/>
      <c r="I939" s="7"/>
      <c r="K939" s="62"/>
      <c r="L939" s="7"/>
      <c r="M939" s="7"/>
      <c r="O939" s="7"/>
      <c r="Q939" s="7"/>
      <c r="S939" s="7"/>
      <c r="U939" s="7"/>
      <c r="W939" s="7"/>
    </row>
    <row r="940">
      <c r="E940" s="67"/>
      <c r="F940" s="7"/>
      <c r="G940" s="7"/>
      <c r="I940" s="7"/>
      <c r="K940" s="62"/>
      <c r="L940" s="7"/>
      <c r="M940" s="7"/>
      <c r="O940" s="7"/>
      <c r="Q940" s="7"/>
      <c r="S940" s="7"/>
      <c r="U940" s="7"/>
      <c r="W940" s="7"/>
    </row>
    <row r="941">
      <c r="E941" s="67"/>
      <c r="F941" s="7"/>
      <c r="G941" s="7"/>
      <c r="I941" s="7"/>
      <c r="K941" s="62"/>
      <c r="L941" s="7"/>
      <c r="M941" s="7"/>
      <c r="O941" s="7"/>
      <c r="Q941" s="7"/>
      <c r="S941" s="7"/>
      <c r="U941" s="7"/>
      <c r="W941" s="7"/>
    </row>
    <row r="942">
      <c r="E942" s="67"/>
      <c r="F942" s="7"/>
      <c r="G942" s="7"/>
      <c r="I942" s="7"/>
      <c r="K942" s="62"/>
      <c r="L942" s="7"/>
      <c r="M942" s="7"/>
      <c r="O942" s="7"/>
      <c r="Q942" s="7"/>
      <c r="S942" s="7"/>
      <c r="U942" s="7"/>
      <c r="W942" s="7"/>
    </row>
    <row r="943">
      <c r="E943" s="67"/>
      <c r="F943" s="7"/>
      <c r="G943" s="7"/>
      <c r="I943" s="7"/>
      <c r="K943" s="62"/>
      <c r="L943" s="7"/>
      <c r="M943" s="7"/>
      <c r="O943" s="7"/>
      <c r="Q943" s="7"/>
      <c r="S943" s="7"/>
      <c r="U943" s="7"/>
      <c r="W943" s="7"/>
    </row>
    <row r="944">
      <c r="E944" s="67"/>
      <c r="F944" s="7"/>
      <c r="G944" s="7"/>
      <c r="I944" s="7"/>
      <c r="K944" s="62"/>
      <c r="L944" s="7"/>
      <c r="M944" s="7"/>
      <c r="O944" s="7"/>
      <c r="Q944" s="7"/>
      <c r="S944" s="7"/>
      <c r="U944" s="7"/>
      <c r="W944" s="7"/>
    </row>
    <row r="945">
      <c r="E945" s="67"/>
      <c r="F945" s="7"/>
      <c r="G945" s="7"/>
      <c r="I945" s="7"/>
      <c r="K945" s="62"/>
      <c r="L945" s="7"/>
      <c r="M945" s="7"/>
      <c r="O945" s="7"/>
      <c r="Q945" s="7"/>
      <c r="S945" s="7"/>
      <c r="U945" s="7"/>
      <c r="W945" s="7"/>
    </row>
    <row r="946">
      <c r="E946" s="67"/>
      <c r="F946" s="7"/>
      <c r="G946" s="7"/>
      <c r="I946" s="7"/>
      <c r="K946" s="62"/>
      <c r="L946" s="7"/>
      <c r="M946" s="7"/>
      <c r="O946" s="7"/>
      <c r="Q946" s="7"/>
      <c r="S946" s="7"/>
      <c r="U946" s="7"/>
      <c r="W946" s="7"/>
    </row>
    <row r="947">
      <c r="E947" s="67"/>
      <c r="F947" s="7"/>
      <c r="G947" s="7"/>
      <c r="I947" s="7"/>
      <c r="K947" s="62"/>
      <c r="L947" s="7"/>
      <c r="M947" s="7"/>
      <c r="O947" s="7"/>
      <c r="Q947" s="7"/>
      <c r="S947" s="7"/>
      <c r="U947" s="7"/>
      <c r="W947" s="7"/>
    </row>
    <row r="948">
      <c r="E948" s="67"/>
      <c r="F948" s="7"/>
      <c r="G948" s="7"/>
      <c r="I948" s="7"/>
      <c r="K948" s="62"/>
      <c r="L948" s="7"/>
      <c r="M948" s="7"/>
      <c r="O948" s="7"/>
      <c r="Q948" s="7"/>
      <c r="S948" s="7"/>
      <c r="U948" s="7"/>
      <c r="W948" s="7"/>
    </row>
    <row r="949">
      <c r="E949" s="67"/>
      <c r="F949" s="7"/>
      <c r="G949" s="7"/>
      <c r="I949" s="7"/>
      <c r="K949" s="62"/>
      <c r="L949" s="7"/>
      <c r="M949" s="7"/>
      <c r="O949" s="7"/>
      <c r="Q949" s="7"/>
      <c r="S949" s="7"/>
      <c r="U949" s="7"/>
      <c r="W949" s="7"/>
    </row>
    <row r="950">
      <c r="E950" s="67"/>
      <c r="F950" s="7"/>
      <c r="G950" s="7"/>
      <c r="I950" s="7"/>
      <c r="K950" s="62"/>
      <c r="L950" s="7"/>
      <c r="M950" s="7"/>
      <c r="O950" s="7"/>
      <c r="Q950" s="7"/>
      <c r="S950" s="7"/>
      <c r="U950" s="7"/>
      <c r="W950" s="7"/>
    </row>
    <row r="951">
      <c r="E951" s="67"/>
      <c r="F951" s="7"/>
      <c r="G951" s="7"/>
      <c r="I951" s="7"/>
      <c r="K951" s="62"/>
      <c r="L951" s="7"/>
      <c r="M951" s="7"/>
      <c r="O951" s="7"/>
      <c r="Q951" s="7"/>
      <c r="S951" s="7"/>
      <c r="U951" s="7"/>
      <c r="W951" s="7"/>
    </row>
    <row r="952">
      <c r="E952" s="67"/>
      <c r="F952" s="7"/>
      <c r="G952" s="7"/>
      <c r="I952" s="7"/>
      <c r="K952" s="62"/>
      <c r="L952" s="7"/>
      <c r="M952" s="7"/>
      <c r="O952" s="7"/>
      <c r="Q952" s="7"/>
      <c r="S952" s="7"/>
      <c r="U952" s="7"/>
      <c r="W952" s="7"/>
    </row>
    <row r="953">
      <c r="E953" s="67"/>
      <c r="F953" s="7"/>
      <c r="G953" s="7"/>
      <c r="I953" s="7"/>
      <c r="K953" s="62"/>
      <c r="L953" s="7"/>
      <c r="M953" s="7"/>
      <c r="O953" s="7"/>
      <c r="Q953" s="7"/>
      <c r="S953" s="7"/>
      <c r="U953" s="7"/>
      <c r="W953" s="7"/>
    </row>
    <row r="954">
      <c r="E954" s="67"/>
      <c r="F954" s="7"/>
      <c r="G954" s="7"/>
      <c r="I954" s="7"/>
      <c r="K954" s="62"/>
      <c r="L954" s="7"/>
      <c r="M954" s="7"/>
      <c r="O954" s="7"/>
      <c r="Q954" s="7"/>
      <c r="S954" s="7"/>
      <c r="U954" s="7"/>
      <c r="W954" s="7"/>
    </row>
    <row r="955">
      <c r="E955" s="67"/>
      <c r="F955" s="7"/>
      <c r="G955" s="7"/>
      <c r="I955" s="7"/>
      <c r="K955" s="62"/>
      <c r="L955" s="7"/>
      <c r="M955" s="7"/>
      <c r="O955" s="7"/>
      <c r="Q955" s="7"/>
      <c r="S955" s="7"/>
      <c r="U955" s="7"/>
      <c r="W955" s="7"/>
    </row>
    <row r="956">
      <c r="E956" s="67"/>
      <c r="F956" s="7"/>
      <c r="G956" s="7"/>
      <c r="I956" s="7"/>
      <c r="K956" s="62"/>
      <c r="L956" s="7"/>
      <c r="M956" s="7"/>
      <c r="O956" s="7"/>
      <c r="Q956" s="7"/>
      <c r="S956" s="7"/>
      <c r="U956" s="7"/>
      <c r="W956" s="7"/>
    </row>
    <row r="957">
      <c r="E957" s="67"/>
      <c r="F957" s="7"/>
      <c r="G957" s="7"/>
      <c r="I957" s="7"/>
      <c r="K957" s="62"/>
      <c r="L957" s="7"/>
      <c r="M957" s="7"/>
      <c r="O957" s="7"/>
      <c r="Q957" s="7"/>
      <c r="S957" s="7"/>
      <c r="U957" s="7"/>
      <c r="W957" s="7"/>
    </row>
    <row r="958">
      <c r="E958" s="67"/>
      <c r="F958" s="7"/>
      <c r="G958" s="7"/>
      <c r="I958" s="7"/>
      <c r="K958" s="62"/>
      <c r="L958" s="7"/>
      <c r="M958" s="7"/>
      <c r="O958" s="7"/>
      <c r="Q958" s="7"/>
      <c r="S958" s="7"/>
      <c r="U958" s="7"/>
      <c r="W958" s="7"/>
    </row>
    <row r="959">
      <c r="E959" s="67"/>
      <c r="F959" s="7"/>
      <c r="G959" s="7"/>
      <c r="I959" s="7"/>
      <c r="K959" s="62"/>
      <c r="L959" s="7"/>
      <c r="M959" s="7"/>
      <c r="O959" s="7"/>
      <c r="Q959" s="7"/>
      <c r="S959" s="7"/>
      <c r="U959" s="7"/>
      <c r="W959" s="7"/>
    </row>
    <row r="960">
      <c r="E960" s="67"/>
      <c r="F960" s="7"/>
      <c r="G960" s="7"/>
      <c r="I960" s="7"/>
      <c r="K960" s="62"/>
      <c r="L960" s="7"/>
      <c r="M960" s="7"/>
      <c r="O960" s="7"/>
      <c r="Q960" s="7"/>
      <c r="S960" s="7"/>
      <c r="U960" s="7"/>
      <c r="W960" s="7"/>
    </row>
    <row r="961">
      <c r="E961" s="67"/>
      <c r="F961" s="7"/>
      <c r="G961" s="7"/>
      <c r="I961" s="7"/>
      <c r="K961" s="62"/>
      <c r="L961" s="7"/>
      <c r="M961" s="7"/>
      <c r="O961" s="7"/>
      <c r="Q961" s="7"/>
      <c r="S961" s="7"/>
      <c r="U961" s="7"/>
      <c r="W961" s="7"/>
    </row>
    <row r="962">
      <c r="E962" s="67"/>
      <c r="F962" s="7"/>
      <c r="G962" s="7"/>
      <c r="I962" s="7"/>
      <c r="K962" s="62"/>
      <c r="L962" s="7"/>
      <c r="M962" s="7"/>
      <c r="O962" s="7"/>
      <c r="Q962" s="7"/>
      <c r="S962" s="7"/>
      <c r="U962" s="7"/>
      <c r="W962" s="7"/>
    </row>
    <row r="963">
      <c r="E963" s="67"/>
      <c r="F963" s="7"/>
      <c r="G963" s="7"/>
      <c r="I963" s="7"/>
      <c r="K963" s="62"/>
      <c r="L963" s="7"/>
      <c r="M963" s="7"/>
      <c r="O963" s="7"/>
      <c r="Q963" s="7"/>
      <c r="S963" s="7"/>
      <c r="U963" s="7"/>
      <c r="W963" s="7"/>
    </row>
    <row r="964">
      <c r="E964" s="67"/>
      <c r="F964" s="7"/>
      <c r="G964" s="7"/>
      <c r="I964" s="7"/>
      <c r="K964" s="62"/>
      <c r="L964" s="7"/>
      <c r="M964" s="7"/>
      <c r="O964" s="7"/>
      <c r="Q964" s="7"/>
      <c r="S964" s="7"/>
      <c r="U964" s="7"/>
      <c r="W964" s="7"/>
    </row>
    <row r="965">
      <c r="E965" s="67"/>
      <c r="F965" s="7"/>
      <c r="G965" s="7"/>
      <c r="I965" s="7"/>
      <c r="K965" s="62"/>
      <c r="L965" s="7"/>
      <c r="M965" s="7"/>
      <c r="O965" s="7"/>
      <c r="Q965" s="7"/>
      <c r="S965" s="7"/>
      <c r="U965" s="7"/>
      <c r="W965" s="7"/>
    </row>
    <row r="966">
      <c r="E966" s="67"/>
      <c r="F966" s="7"/>
      <c r="G966" s="7"/>
      <c r="I966" s="7"/>
      <c r="K966" s="62"/>
      <c r="L966" s="7"/>
      <c r="M966" s="7"/>
      <c r="O966" s="7"/>
      <c r="Q966" s="7"/>
      <c r="S966" s="7"/>
      <c r="U966" s="7"/>
      <c r="W966" s="7"/>
    </row>
    <row r="967">
      <c r="E967" s="67"/>
      <c r="F967" s="7"/>
      <c r="G967" s="7"/>
      <c r="I967" s="7"/>
      <c r="K967" s="62"/>
      <c r="L967" s="7"/>
      <c r="M967" s="7"/>
      <c r="O967" s="7"/>
      <c r="Q967" s="7"/>
      <c r="S967" s="7"/>
      <c r="U967" s="7"/>
      <c r="W967" s="7"/>
    </row>
    <row r="968">
      <c r="E968" s="67"/>
      <c r="F968" s="7"/>
      <c r="G968" s="7"/>
      <c r="I968" s="7"/>
      <c r="K968" s="62"/>
      <c r="L968" s="7"/>
      <c r="M968" s="7"/>
      <c r="O968" s="7"/>
      <c r="Q968" s="7"/>
      <c r="S968" s="7"/>
      <c r="U968" s="7"/>
      <c r="W968" s="7"/>
    </row>
    <row r="969">
      <c r="E969" s="67"/>
      <c r="F969" s="7"/>
      <c r="G969" s="7"/>
      <c r="I969" s="7"/>
      <c r="K969" s="62"/>
      <c r="L969" s="7"/>
      <c r="M969" s="7"/>
      <c r="O969" s="7"/>
      <c r="Q969" s="7"/>
      <c r="S969" s="7"/>
      <c r="U969" s="7"/>
      <c r="W969" s="7"/>
    </row>
    <row r="970">
      <c r="E970" s="67"/>
      <c r="F970" s="7"/>
      <c r="G970" s="7"/>
      <c r="I970" s="7"/>
      <c r="K970" s="62"/>
      <c r="L970" s="7"/>
      <c r="M970" s="7"/>
      <c r="O970" s="7"/>
      <c r="Q970" s="7"/>
      <c r="S970" s="7"/>
      <c r="U970" s="7"/>
      <c r="W970" s="7"/>
    </row>
    <row r="971">
      <c r="E971" s="67"/>
      <c r="F971" s="7"/>
      <c r="G971" s="7"/>
      <c r="I971" s="7"/>
      <c r="K971" s="62"/>
      <c r="L971" s="7"/>
      <c r="M971" s="7"/>
      <c r="O971" s="7"/>
      <c r="Q971" s="7"/>
      <c r="S971" s="7"/>
      <c r="U971" s="7"/>
      <c r="W971" s="7"/>
    </row>
    <row r="972">
      <c r="E972" s="67"/>
      <c r="F972" s="7"/>
      <c r="G972" s="7"/>
      <c r="I972" s="7"/>
      <c r="K972" s="62"/>
      <c r="L972" s="7"/>
      <c r="M972" s="7"/>
      <c r="O972" s="7"/>
      <c r="Q972" s="7"/>
      <c r="S972" s="7"/>
      <c r="U972" s="7"/>
      <c r="W972" s="7"/>
    </row>
    <row r="973">
      <c r="E973" s="67"/>
      <c r="F973" s="7"/>
      <c r="G973" s="7"/>
      <c r="I973" s="7"/>
      <c r="K973" s="62"/>
      <c r="L973" s="7"/>
      <c r="M973" s="7"/>
      <c r="O973" s="7"/>
      <c r="Q973" s="7"/>
      <c r="S973" s="7"/>
      <c r="U973" s="7"/>
      <c r="W973" s="7"/>
    </row>
    <row r="974">
      <c r="E974" s="67"/>
      <c r="F974" s="7"/>
      <c r="G974" s="7"/>
      <c r="I974" s="7"/>
      <c r="K974" s="62"/>
      <c r="L974" s="7"/>
      <c r="M974" s="7"/>
      <c r="O974" s="7"/>
      <c r="Q974" s="7"/>
      <c r="S974" s="7"/>
      <c r="U974" s="7"/>
      <c r="W974" s="7"/>
    </row>
    <row r="975">
      <c r="E975" s="67"/>
      <c r="F975" s="7"/>
      <c r="G975" s="7"/>
      <c r="I975" s="7"/>
      <c r="K975" s="62"/>
      <c r="L975" s="7"/>
      <c r="M975" s="7"/>
      <c r="O975" s="7"/>
      <c r="Q975" s="7"/>
      <c r="S975" s="7"/>
      <c r="U975" s="7"/>
      <c r="W975" s="7"/>
    </row>
    <row r="976">
      <c r="E976" s="67"/>
      <c r="F976" s="7"/>
      <c r="G976" s="7"/>
      <c r="I976" s="7"/>
      <c r="K976" s="62"/>
      <c r="L976" s="7"/>
      <c r="M976" s="7"/>
      <c r="O976" s="7"/>
      <c r="Q976" s="7"/>
      <c r="S976" s="7"/>
      <c r="U976" s="7"/>
      <c r="W976" s="7"/>
    </row>
    <row r="977">
      <c r="E977" s="67"/>
      <c r="F977" s="7"/>
      <c r="G977" s="7"/>
      <c r="I977" s="7"/>
      <c r="K977" s="62"/>
      <c r="L977" s="7"/>
      <c r="M977" s="7"/>
      <c r="O977" s="7"/>
      <c r="Q977" s="7"/>
      <c r="S977" s="7"/>
      <c r="U977" s="7"/>
      <c r="W977" s="7"/>
    </row>
    <row r="978">
      <c r="E978" s="67"/>
      <c r="F978" s="7"/>
      <c r="G978" s="7"/>
      <c r="I978" s="7"/>
      <c r="K978" s="62"/>
      <c r="L978" s="7"/>
      <c r="M978" s="7"/>
      <c r="O978" s="7"/>
      <c r="Q978" s="7"/>
      <c r="S978" s="7"/>
      <c r="U978" s="7"/>
      <c r="W978" s="7"/>
    </row>
    <row r="979">
      <c r="E979" s="67"/>
      <c r="F979" s="7"/>
      <c r="G979" s="7"/>
      <c r="I979" s="7"/>
      <c r="K979" s="62"/>
      <c r="L979" s="7"/>
      <c r="M979" s="7"/>
      <c r="O979" s="7"/>
      <c r="Q979" s="7"/>
      <c r="S979" s="7"/>
      <c r="U979" s="7"/>
      <c r="W979" s="7"/>
    </row>
    <row r="980">
      <c r="E980" s="67"/>
      <c r="F980" s="7"/>
      <c r="G980" s="7"/>
      <c r="I980" s="7"/>
      <c r="K980" s="62"/>
      <c r="L980" s="7"/>
      <c r="M980" s="7"/>
      <c r="O980" s="7"/>
      <c r="Q980" s="7"/>
      <c r="S980" s="7"/>
      <c r="U980" s="7"/>
      <c r="W980" s="7"/>
    </row>
    <row r="981">
      <c r="E981" s="67"/>
      <c r="F981" s="7"/>
      <c r="G981" s="7"/>
      <c r="I981" s="7"/>
      <c r="K981" s="62"/>
      <c r="L981" s="7"/>
      <c r="M981" s="7"/>
      <c r="O981" s="7"/>
      <c r="Q981" s="7"/>
      <c r="S981" s="7"/>
      <c r="U981" s="7"/>
      <c r="W981" s="7"/>
    </row>
    <row r="982">
      <c r="E982" s="67"/>
      <c r="F982" s="7"/>
      <c r="G982" s="7"/>
      <c r="I982" s="7"/>
      <c r="K982" s="62"/>
      <c r="L982" s="7"/>
      <c r="M982" s="7"/>
      <c r="O982" s="7"/>
      <c r="Q982" s="7"/>
      <c r="S982" s="7"/>
      <c r="U982" s="7"/>
      <c r="W982" s="7"/>
    </row>
    <row r="983">
      <c r="E983" s="67"/>
      <c r="F983" s="7"/>
      <c r="G983" s="7"/>
      <c r="I983" s="7"/>
      <c r="K983" s="62"/>
      <c r="L983" s="7"/>
      <c r="M983" s="7"/>
      <c r="O983" s="7"/>
      <c r="Q983" s="7"/>
      <c r="S983" s="7"/>
      <c r="U983" s="7"/>
      <c r="W983" s="7"/>
    </row>
    <row r="984">
      <c r="E984" s="67"/>
      <c r="F984" s="7"/>
      <c r="G984" s="7"/>
      <c r="I984" s="7"/>
      <c r="K984" s="62"/>
      <c r="L984" s="7"/>
      <c r="M984" s="7"/>
      <c r="O984" s="7"/>
      <c r="Q984" s="7"/>
      <c r="S984" s="7"/>
      <c r="U984" s="7"/>
      <c r="W984" s="7"/>
    </row>
    <row r="985">
      <c r="E985" s="67"/>
      <c r="F985" s="7"/>
      <c r="G985" s="7"/>
      <c r="I985" s="7"/>
      <c r="K985" s="62"/>
      <c r="L985" s="7"/>
      <c r="M985" s="7"/>
      <c r="O985" s="7"/>
      <c r="Q985" s="7"/>
      <c r="S985" s="7"/>
      <c r="U985" s="7"/>
      <c r="W985" s="7"/>
    </row>
    <row r="986">
      <c r="E986" s="67"/>
      <c r="F986" s="7"/>
      <c r="G986" s="7"/>
      <c r="I986" s="7"/>
      <c r="K986" s="62"/>
      <c r="L986" s="7"/>
      <c r="M986" s="7"/>
      <c r="O986" s="7"/>
      <c r="Q986" s="7"/>
      <c r="S986" s="7"/>
      <c r="U986" s="7"/>
      <c r="W986" s="7"/>
    </row>
    <row r="987">
      <c r="E987" s="67"/>
      <c r="F987" s="7"/>
      <c r="G987" s="7"/>
      <c r="I987" s="7"/>
      <c r="K987" s="62"/>
      <c r="L987" s="7"/>
      <c r="M987" s="7"/>
      <c r="O987" s="7"/>
      <c r="Q987" s="7"/>
      <c r="S987" s="7"/>
      <c r="U987" s="7"/>
      <c r="W987" s="7"/>
    </row>
    <row r="988">
      <c r="E988" s="67"/>
      <c r="F988" s="7"/>
      <c r="G988" s="7"/>
      <c r="I988" s="7"/>
      <c r="K988" s="62"/>
      <c r="L988" s="7"/>
      <c r="M988" s="7"/>
      <c r="O988" s="7"/>
      <c r="Q988" s="7"/>
      <c r="S988" s="7"/>
      <c r="U988" s="7"/>
      <c r="W988" s="7"/>
    </row>
    <row r="989">
      <c r="E989" s="67"/>
      <c r="F989" s="7"/>
      <c r="G989" s="7"/>
      <c r="I989" s="7"/>
      <c r="K989" s="62"/>
      <c r="L989" s="7"/>
      <c r="M989" s="7"/>
      <c r="O989" s="7"/>
      <c r="Q989" s="7"/>
      <c r="S989" s="7"/>
      <c r="U989" s="7"/>
      <c r="W989" s="7"/>
    </row>
    <row r="990">
      <c r="E990" s="67"/>
      <c r="F990" s="7"/>
      <c r="G990" s="7"/>
      <c r="I990" s="7"/>
      <c r="K990" s="62"/>
      <c r="L990" s="7"/>
      <c r="M990" s="7"/>
      <c r="O990" s="7"/>
      <c r="Q990" s="7"/>
      <c r="S990" s="7"/>
      <c r="U990" s="7"/>
      <c r="W990" s="7"/>
    </row>
    <row r="991">
      <c r="E991" s="67"/>
      <c r="F991" s="7"/>
      <c r="G991" s="7"/>
      <c r="I991" s="7"/>
      <c r="K991" s="62"/>
      <c r="L991" s="7"/>
      <c r="M991" s="7"/>
      <c r="O991" s="7"/>
      <c r="Q991" s="7"/>
      <c r="S991" s="7"/>
      <c r="U991" s="7"/>
      <c r="W991" s="7"/>
    </row>
    <row r="992">
      <c r="E992" s="67"/>
      <c r="F992" s="7"/>
      <c r="G992" s="7"/>
      <c r="I992" s="7"/>
      <c r="K992" s="62"/>
      <c r="L992" s="7"/>
      <c r="M992" s="7"/>
      <c r="O992" s="7"/>
      <c r="Q992" s="7"/>
      <c r="S992" s="7"/>
      <c r="U992" s="7"/>
      <c r="W992" s="7"/>
    </row>
    <row r="993">
      <c r="E993" s="67"/>
      <c r="F993" s="7"/>
      <c r="G993" s="7"/>
      <c r="I993" s="7"/>
      <c r="K993" s="62"/>
      <c r="L993" s="7"/>
      <c r="M993" s="7"/>
      <c r="O993" s="7"/>
      <c r="Q993" s="7"/>
      <c r="S993" s="7"/>
      <c r="U993" s="7"/>
      <c r="W993" s="7"/>
    </row>
    <row r="994">
      <c r="E994" s="67"/>
      <c r="F994" s="7"/>
      <c r="G994" s="7"/>
      <c r="I994" s="7"/>
      <c r="K994" s="62"/>
      <c r="L994" s="7"/>
      <c r="M994" s="7"/>
      <c r="O994" s="7"/>
      <c r="Q994" s="7"/>
      <c r="S994" s="7"/>
      <c r="U994" s="7"/>
      <c r="W994" s="7"/>
    </row>
    <row r="995">
      <c r="E995" s="67"/>
      <c r="F995" s="7"/>
      <c r="G995" s="7"/>
      <c r="I995" s="7"/>
      <c r="K995" s="62"/>
      <c r="L995" s="7"/>
      <c r="M995" s="7"/>
      <c r="O995" s="7"/>
      <c r="Q995" s="7"/>
      <c r="S995" s="7"/>
      <c r="U995" s="7"/>
      <c r="W995" s="7"/>
    </row>
    <row r="996">
      <c r="E996" s="67"/>
      <c r="F996" s="7"/>
      <c r="G996" s="7"/>
      <c r="I996" s="7"/>
      <c r="K996" s="62"/>
      <c r="L996" s="7"/>
      <c r="M996" s="7"/>
      <c r="O996" s="7"/>
      <c r="Q996" s="7"/>
      <c r="S996" s="7"/>
      <c r="U996" s="7"/>
      <c r="W996" s="7"/>
    </row>
    <row r="997">
      <c r="E997" s="67"/>
      <c r="F997" s="7"/>
      <c r="G997" s="7"/>
      <c r="I997" s="7"/>
      <c r="K997" s="62"/>
      <c r="L997" s="7"/>
      <c r="M997" s="7"/>
      <c r="O997" s="7"/>
      <c r="Q997" s="7"/>
      <c r="S997" s="7"/>
      <c r="U997" s="7"/>
      <c r="W997" s="7"/>
    </row>
    <row r="998">
      <c r="E998" s="67"/>
      <c r="F998" s="7"/>
      <c r="G998" s="7"/>
      <c r="I998" s="7"/>
      <c r="K998" s="62"/>
      <c r="L998" s="7"/>
      <c r="M998" s="7"/>
      <c r="O998" s="7"/>
      <c r="Q998" s="7"/>
      <c r="S998" s="7"/>
      <c r="U998" s="7"/>
      <c r="W998" s="7"/>
    </row>
    <row r="999">
      <c r="E999" s="67"/>
      <c r="F999" s="7"/>
      <c r="G999" s="7"/>
      <c r="I999" s="7"/>
      <c r="K999" s="62"/>
      <c r="L999" s="7"/>
      <c r="M999" s="7"/>
      <c r="O999" s="7"/>
      <c r="Q999" s="7"/>
      <c r="S999" s="7"/>
      <c r="U999" s="7"/>
      <c r="W999" s="7"/>
    </row>
    <row r="1000">
      <c r="E1000" s="67"/>
      <c r="F1000" s="7"/>
      <c r="G1000" s="7"/>
      <c r="I1000" s="7"/>
      <c r="K1000" s="62"/>
      <c r="L1000" s="7"/>
      <c r="M1000" s="7"/>
      <c r="O1000" s="7"/>
      <c r="Q1000" s="7"/>
      <c r="S1000" s="7"/>
      <c r="U1000" s="7"/>
      <c r="W1000" s="7"/>
    </row>
    <row r="1001">
      <c r="E1001" s="67"/>
      <c r="F1001" s="7"/>
      <c r="G1001" s="7"/>
      <c r="I1001" s="7"/>
      <c r="K1001" s="62"/>
      <c r="L1001" s="7"/>
      <c r="M1001" s="7"/>
      <c r="O1001" s="7"/>
      <c r="Q1001" s="7"/>
      <c r="S1001" s="7"/>
      <c r="U1001" s="7"/>
      <c r="W1001" s="7"/>
    </row>
    <row r="1002">
      <c r="E1002" s="67"/>
      <c r="F1002" s="7"/>
      <c r="G1002" s="7"/>
      <c r="I1002" s="7"/>
      <c r="K1002" s="62"/>
      <c r="L1002" s="7"/>
      <c r="M1002" s="7"/>
      <c r="O1002" s="7"/>
      <c r="Q1002" s="7"/>
      <c r="S1002" s="7"/>
      <c r="U1002" s="7"/>
      <c r="W1002" s="7"/>
    </row>
    <row r="1003">
      <c r="E1003" s="67"/>
      <c r="F1003" s="7"/>
      <c r="G1003" s="7"/>
      <c r="I1003" s="7"/>
      <c r="K1003" s="62"/>
      <c r="L1003" s="7"/>
      <c r="M1003" s="7"/>
      <c r="O1003" s="7"/>
      <c r="Q1003" s="7"/>
      <c r="S1003" s="7"/>
      <c r="U1003" s="7"/>
      <c r="W1003" s="7"/>
    </row>
    <row r="1004">
      <c r="E1004" s="67"/>
      <c r="F1004" s="7"/>
      <c r="G1004" s="7"/>
      <c r="I1004" s="7"/>
      <c r="K1004" s="62"/>
      <c r="L1004" s="7"/>
      <c r="M1004" s="7"/>
      <c r="O1004" s="7"/>
      <c r="Q1004" s="7"/>
      <c r="S1004" s="7"/>
      <c r="U1004" s="7"/>
      <c r="W1004" s="7"/>
    </row>
    <row r="1005">
      <c r="E1005" s="67"/>
      <c r="F1005" s="7"/>
      <c r="G1005" s="7"/>
      <c r="I1005" s="7"/>
      <c r="K1005" s="62"/>
      <c r="L1005" s="7"/>
      <c r="M1005" s="7"/>
      <c r="O1005" s="7"/>
      <c r="Q1005" s="7"/>
      <c r="S1005" s="7"/>
      <c r="U1005" s="7"/>
      <c r="W1005" s="7"/>
    </row>
    <row r="1006">
      <c r="E1006" s="67"/>
      <c r="F1006" s="7"/>
      <c r="G1006" s="7"/>
      <c r="I1006" s="7"/>
      <c r="K1006" s="62"/>
      <c r="L1006" s="7"/>
      <c r="M1006" s="7"/>
      <c r="O1006" s="7"/>
      <c r="Q1006" s="7"/>
      <c r="S1006" s="7"/>
      <c r="U1006" s="7"/>
      <c r="W1006" s="7"/>
    </row>
    <row r="1007">
      <c r="E1007" s="67"/>
      <c r="F1007" s="7"/>
      <c r="G1007" s="7"/>
      <c r="I1007" s="7"/>
      <c r="K1007" s="62"/>
      <c r="L1007" s="7"/>
      <c r="M1007" s="7"/>
      <c r="O1007" s="7"/>
      <c r="Q1007" s="7"/>
      <c r="S1007" s="7"/>
      <c r="U1007" s="7"/>
      <c r="W1007" s="7"/>
    </row>
    <row r="1008">
      <c r="E1008" s="67"/>
      <c r="F1008" s="7"/>
      <c r="G1008" s="7"/>
      <c r="I1008" s="7"/>
      <c r="K1008" s="62"/>
      <c r="L1008" s="7"/>
      <c r="M1008" s="7"/>
      <c r="O1008" s="7"/>
      <c r="Q1008" s="7"/>
      <c r="S1008" s="7"/>
      <c r="U1008" s="7"/>
      <c r="W1008" s="7"/>
    </row>
    <row r="1009">
      <c r="E1009" s="67"/>
      <c r="F1009" s="7"/>
      <c r="G1009" s="7"/>
      <c r="I1009" s="7"/>
      <c r="K1009" s="62"/>
      <c r="L1009" s="7"/>
      <c r="M1009" s="7"/>
      <c r="O1009" s="7"/>
      <c r="Q1009" s="7"/>
      <c r="S1009" s="7"/>
      <c r="U1009" s="7"/>
      <c r="W1009" s="7"/>
    </row>
    <row r="1010">
      <c r="E1010" s="67"/>
      <c r="F1010" s="7"/>
      <c r="G1010" s="7"/>
      <c r="I1010" s="7"/>
      <c r="K1010" s="62"/>
      <c r="L1010" s="7"/>
      <c r="M1010" s="7"/>
      <c r="O1010" s="7"/>
      <c r="Q1010" s="7"/>
      <c r="S1010" s="7"/>
      <c r="U1010" s="7"/>
      <c r="W1010" s="7"/>
    </row>
    <row r="1011">
      <c r="E1011" s="67"/>
      <c r="F1011" s="7"/>
      <c r="G1011" s="7"/>
      <c r="I1011" s="7"/>
      <c r="K1011" s="62"/>
      <c r="L1011" s="7"/>
      <c r="M1011" s="7"/>
      <c r="O1011" s="7"/>
      <c r="Q1011" s="7"/>
      <c r="S1011" s="7"/>
      <c r="U1011" s="7"/>
      <c r="W1011" s="7"/>
    </row>
    <row r="1012">
      <c r="E1012" s="67"/>
      <c r="F1012" s="7"/>
      <c r="G1012" s="7"/>
      <c r="I1012" s="7"/>
      <c r="K1012" s="62"/>
      <c r="L1012" s="7"/>
      <c r="M1012" s="7"/>
      <c r="O1012" s="7"/>
      <c r="Q1012" s="7"/>
      <c r="S1012" s="7"/>
      <c r="U1012" s="7"/>
      <c r="W1012" s="7"/>
    </row>
    <row r="1013">
      <c r="E1013" s="67"/>
      <c r="F1013" s="7"/>
      <c r="G1013" s="7"/>
      <c r="I1013" s="7"/>
      <c r="K1013" s="62"/>
      <c r="L1013" s="7"/>
      <c r="M1013" s="7"/>
      <c r="O1013" s="7"/>
      <c r="Q1013" s="7"/>
      <c r="S1013" s="7"/>
      <c r="U1013" s="7"/>
      <c r="W1013" s="7"/>
    </row>
    <row r="1014">
      <c r="E1014" s="67"/>
      <c r="F1014" s="7"/>
      <c r="G1014" s="7"/>
      <c r="I1014" s="7"/>
      <c r="K1014" s="62"/>
      <c r="L1014" s="7"/>
      <c r="M1014" s="7"/>
      <c r="O1014" s="7"/>
      <c r="Q1014" s="7"/>
      <c r="S1014" s="7"/>
      <c r="U1014" s="7"/>
      <c r="W1014" s="7"/>
    </row>
    <row r="1015">
      <c r="E1015" s="67"/>
      <c r="F1015" s="7"/>
      <c r="G1015" s="7"/>
      <c r="I1015" s="7"/>
      <c r="K1015" s="62"/>
      <c r="L1015" s="7"/>
      <c r="M1015" s="7"/>
      <c r="O1015" s="7"/>
      <c r="Q1015" s="7"/>
      <c r="S1015" s="7"/>
      <c r="U1015" s="7"/>
      <c r="W1015" s="7"/>
    </row>
    <row r="1016">
      <c r="E1016" s="67"/>
      <c r="F1016" s="7"/>
      <c r="G1016" s="7"/>
      <c r="I1016" s="7"/>
      <c r="K1016" s="62"/>
      <c r="L1016" s="7"/>
      <c r="M1016" s="7"/>
      <c r="O1016" s="7"/>
      <c r="Q1016" s="7"/>
      <c r="S1016" s="7"/>
      <c r="U1016" s="7"/>
      <c r="W1016" s="7"/>
    </row>
    <row r="1017">
      <c r="E1017" s="67"/>
      <c r="F1017" s="7"/>
      <c r="G1017" s="7"/>
      <c r="I1017" s="7"/>
      <c r="K1017" s="62"/>
      <c r="L1017" s="7"/>
      <c r="M1017" s="7"/>
      <c r="O1017" s="7"/>
      <c r="Q1017" s="7"/>
      <c r="S1017" s="7"/>
      <c r="U1017" s="7"/>
      <c r="W1017" s="7"/>
    </row>
    <row r="1018">
      <c r="E1018" s="67"/>
      <c r="F1018" s="7"/>
      <c r="G1018" s="7"/>
      <c r="I1018" s="7"/>
      <c r="K1018" s="62"/>
      <c r="L1018" s="7"/>
      <c r="M1018" s="7"/>
      <c r="O1018" s="7"/>
      <c r="Q1018" s="7"/>
      <c r="S1018" s="7"/>
      <c r="U1018" s="7"/>
      <c r="W1018" s="7"/>
    </row>
    <row r="1019">
      <c r="E1019" s="67"/>
      <c r="F1019" s="7"/>
      <c r="G1019" s="7"/>
      <c r="I1019" s="7"/>
      <c r="K1019" s="62"/>
      <c r="L1019" s="7"/>
      <c r="M1019" s="7"/>
      <c r="O1019" s="7"/>
      <c r="Q1019" s="7"/>
      <c r="S1019" s="7"/>
      <c r="U1019" s="7"/>
      <c r="W1019" s="7"/>
    </row>
    <row r="1020">
      <c r="E1020" s="67"/>
      <c r="F1020" s="7"/>
      <c r="G1020" s="7"/>
      <c r="I1020" s="7"/>
      <c r="K1020" s="62"/>
      <c r="L1020" s="7"/>
      <c r="M1020" s="7"/>
      <c r="O1020" s="7"/>
      <c r="Q1020" s="7"/>
      <c r="S1020" s="7"/>
      <c r="U1020" s="7"/>
      <c r="W1020" s="7"/>
    </row>
    <row r="1021">
      <c r="E1021" s="67"/>
      <c r="F1021" s="7"/>
      <c r="G1021" s="7"/>
      <c r="I1021" s="7"/>
      <c r="K1021" s="62"/>
      <c r="L1021" s="7"/>
      <c r="M1021" s="7"/>
      <c r="O1021" s="7"/>
      <c r="Q1021" s="7"/>
      <c r="S1021" s="7"/>
      <c r="U1021" s="7"/>
      <c r="W1021" s="7"/>
    </row>
    <row r="1022">
      <c r="E1022" s="67"/>
      <c r="F1022" s="7"/>
      <c r="G1022" s="7"/>
      <c r="I1022" s="7"/>
      <c r="K1022" s="62"/>
      <c r="L1022" s="7"/>
      <c r="M1022" s="7"/>
      <c r="O1022" s="7"/>
      <c r="Q1022" s="7"/>
      <c r="S1022" s="7"/>
      <c r="U1022" s="7"/>
      <c r="W1022" s="7"/>
    </row>
    <row r="1023">
      <c r="E1023" s="67"/>
      <c r="F1023" s="7"/>
      <c r="G1023" s="7"/>
      <c r="I1023" s="7"/>
      <c r="K1023" s="62"/>
      <c r="L1023" s="7"/>
      <c r="M1023" s="7"/>
      <c r="O1023" s="7"/>
      <c r="Q1023" s="7"/>
      <c r="S1023" s="7"/>
      <c r="U1023" s="7"/>
      <c r="W1023" s="7"/>
    </row>
    <row r="1024">
      <c r="E1024" s="67"/>
      <c r="F1024" s="7"/>
      <c r="G1024" s="7"/>
      <c r="I1024" s="7"/>
      <c r="K1024" s="62"/>
      <c r="L1024" s="7"/>
      <c r="M1024" s="7"/>
      <c r="O1024" s="7"/>
      <c r="Q1024" s="7"/>
      <c r="S1024" s="7"/>
      <c r="U1024" s="7"/>
      <c r="W1024" s="7"/>
    </row>
    <row r="1025">
      <c r="E1025" s="67"/>
      <c r="F1025" s="7"/>
      <c r="G1025" s="7"/>
      <c r="I1025" s="7"/>
      <c r="K1025" s="62"/>
      <c r="L1025" s="7"/>
      <c r="M1025" s="7"/>
      <c r="O1025" s="7"/>
      <c r="Q1025" s="7"/>
      <c r="S1025" s="7"/>
      <c r="U1025" s="7"/>
      <c r="W1025" s="7"/>
    </row>
    <row r="1026">
      <c r="E1026" s="67"/>
      <c r="F1026" s="7"/>
      <c r="G1026" s="7"/>
      <c r="I1026" s="7"/>
      <c r="K1026" s="62"/>
      <c r="L1026" s="7"/>
      <c r="M1026" s="7"/>
      <c r="O1026" s="7"/>
      <c r="Q1026" s="7"/>
      <c r="S1026" s="7"/>
      <c r="U1026" s="7"/>
      <c r="W1026" s="7"/>
    </row>
    <row r="1027">
      <c r="E1027" s="67"/>
      <c r="F1027" s="7"/>
      <c r="G1027" s="7"/>
      <c r="I1027" s="7"/>
      <c r="K1027" s="62"/>
      <c r="L1027" s="7"/>
      <c r="M1027" s="7"/>
      <c r="O1027" s="7"/>
      <c r="Q1027" s="7"/>
      <c r="S1027" s="7"/>
      <c r="U1027" s="7"/>
      <c r="W1027" s="7"/>
    </row>
    <row r="1028">
      <c r="E1028" s="67"/>
      <c r="F1028" s="7"/>
      <c r="G1028" s="7"/>
      <c r="I1028" s="7"/>
      <c r="K1028" s="62"/>
      <c r="L1028" s="7"/>
      <c r="M1028" s="7"/>
      <c r="O1028" s="7"/>
      <c r="Q1028" s="7"/>
      <c r="S1028" s="7"/>
      <c r="U1028" s="7"/>
      <c r="W1028" s="7"/>
    </row>
    <row r="1029">
      <c r="E1029" s="67"/>
      <c r="F1029" s="7"/>
      <c r="G1029" s="7"/>
      <c r="I1029" s="7"/>
      <c r="K1029" s="62"/>
      <c r="L1029" s="7"/>
      <c r="M1029" s="7"/>
      <c r="O1029" s="7"/>
      <c r="Q1029" s="7"/>
      <c r="S1029" s="7"/>
      <c r="U1029" s="7"/>
      <c r="W1029" s="7"/>
    </row>
    <row r="1030">
      <c r="E1030" s="67"/>
      <c r="F1030" s="7"/>
      <c r="G1030" s="7"/>
      <c r="I1030" s="7"/>
      <c r="K1030" s="62"/>
      <c r="L1030" s="7"/>
      <c r="M1030" s="7"/>
      <c r="O1030" s="7"/>
      <c r="Q1030" s="7"/>
      <c r="S1030" s="7"/>
      <c r="U1030" s="7"/>
      <c r="W1030" s="7"/>
    </row>
    <row r="1031">
      <c r="E1031" s="67"/>
      <c r="F1031" s="7"/>
      <c r="G1031" s="7"/>
      <c r="I1031" s="7"/>
      <c r="K1031" s="62"/>
      <c r="L1031" s="7"/>
      <c r="M1031" s="7"/>
      <c r="O1031" s="7"/>
      <c r="Q1031" s="7"/>
      <c r="S1031" s="7"/>
      <c r="U1031" s="7"/>
      <c r="W1031" s="7"/>
    </row>
    <row r="1032">
      <c r="E1032" s="67"/>
      <c r="F1032" s="7"/>
      <c r="G1032" s="7"/>
      <c r="I1032" s="7"/>
      <c r="K1032" s="62"/>
      <c r="L1032" s="7"/>
      <c r="M1032" s="7"/>
      <c r="O1032" s="7"/>
      <c r="Q1032" s="7"/>
      <c r="S1032" s="7"/>
      <c r="U1032" s="7"/>
      <c r="W1032" s="7"/>
    </row>
    <row r="1033">
      <c r="E1033" s="67"/>
      <c r="F1033" s="7"/>
      <c r="G1033" s="7"/>
      <c r="I1033" s="7"/>
      <c r="K1033" s="62"/>
      <c r="L1033" s="7"/>
      <c r="M1033" s="7"/>
      <c r="O1033" s="7"/>
      <c r="Q1033" s="7"/>
      <c r="S1033" s="7"/>
      <c r="U1033" s="7"/>
      <c r="W1033" s="7"/>
    </row>
    <row r="1034">
      <c r="E1034" s="67"/>
      <c r="F1034" s="7"/>
      <c r="G1034" s="7"/>
      <c r="I1034" s="7"/>
      <c r="K1034" s="62"/>
      <c r="L1034" s="7"/>
      <c r="M1034" s="7"/>
      <c r="O1034" s="7"/>
      <c r="Q1034" s="7"/>
      <c r="S1034" s="7"/>
      <c r="U1034" s="7"/>
      <c r="W1034" s="7"/>
    </row>
    <row r="1035">
      <c r="E1035" s="67"/>
      <c r="F1035" s="7"/>
      <c r="G1035" s="7"/>
      <c r="I1035" s="7"/>
      <c r="K1035" s="62"/>
      <c r="L1035" s="7"/>
      <c r="M1035" s="7"/>
      <c r="O1035" s="7"/>
      <c r="Q1035" s="7"/>
      <c r="S1035" s="7"/>
      <c r="U1035" s="7"/>
      <c r="W1035" s="7"/>
    </row>
    <row r="1036">
      <c r="E1036" s="67"/>
      <c r="F1036" s="7"/>
      <c r="G1036" s="7"/>
      <c r="I1036" s="7"/>
      <c r="K1036" s="62"/>
      <c r="L1036" s="7"/>
      <c r="M1036" s="7"/>
      <c r="O1036" s="7"/>
      <c r="Q1036" s="7"/>
      <c r="S1036" s="7"/>
      <c r="U1036" s="7"/>
      <c r="W1036" s="7"/>
    </row>
    <row r="1037">
      <c r="E1037" s="67"/>
      <c r="F1037" s="7"/>
      <c r="G1037" s="7"/>
      <c r="I1037" s="7"/>
      <c r="K1037" s="62"/>
      <c r="L1037" s="7"/>
      <c r="M1037" s="7"/>
      <c r="O1037" s="7"/>
      <c r="Q1037" s="7"/>
      <c r="S1037" s="7"/>
      <c r="U1037" s="7"/>
      <c r="W1037" s="7"/>
    </row>
    <row r="1038">
      <c r="E1038" s="67"/>
      <c r="F1038" s="7"/>
      <c r="G1038" s="7"/>
      <c r="I1038" s="7"/>
      <c r="K1038" s="62"/>
      <c r="L1038" s="7"/>
      <c r="M1038" s="7"/>
      <c r="O1038" s="7"/>
      <c r="Q1038" s="7"/>
      <c r="S1038" s="7"/>
      <c r="U1038" s="7"/>
      <c r="W1038" s="7"/>
    </row>
    <row r="1039">
      <c r="E1039" s="67"/>
      <c r="F1039" s="7"/>
      <c r="G1039" s="7"/>
      <c r="I1039" s="7"/>
      <c r="K1039" s="62"/>
      <c r="L1039" s="7"/>
      <c r="M1039" s="7"/>
      <c r="O1039" s="7"/>
      <c r="Q1039" s="7"/>
      <c r="S1039" s="7"/>
      <c r="U1039" s="7"/>
      <c r="W1039" s="7"/>
    </row>
    <row r="1040">
      <c r="E1040" s="67"/>
      <c r="F1040" s="7"/>
      <c r="G1040" s="7"/>
      <c r="I1040" s="7"/>
      <c r="K1040" s="62"/>
      <c r="L1040" s="7"/>
      <c r="M1040" s="7"/>
      <c r="O1040" s="7"/>
      <c r="Q1040" s="7"/>
      <c r="S1040" s="7"/>
      <c r="U1040" s="7"/>
      <c r="W1040" s="7"/>
    </row>
    <row r="1041">
      <c r="E1041" s="67"/>
      <c r="F1041" s="7"/>
      <c r="G1041" s="7"/>
      <c r="I1041" s="7"/>
      <c r="K1041" s="62"/>
      <c r="L1041" s="7"/>
      <c r="M1041" s="7"/>
      <c r="O1041" s="7"/>
      <c r="Q1041" s="7"/>
      <c r="S1041" s="7"/>
      <c r="U1041" s="7"/>
      <c r="W1041" s="7"/>
    </row>
    <row r="1042">
      <c r="E1042" s="67"/>
      <c r="F1042" s="7"/>
      <c r="G1042" s="7"/>
      <c r="I1042" s="7"/>
      <c r="K1042" s="62"/>
      <c r="L1042" s="7"/>
      <c r="M1042" s="7"/>
      <c r="O1042" s="7"/>
      <c r="Q1042" s="7"/>
      <c r="S1042" s="7"/>
      <c r="U1042" s="7"/>
      <c r="W1042" s="7"/>
    </row>
    <row r="1043">
      <c r="E1043" s="67"/>
      <c r="F1043" s="7"/>
      <c r="G1043" s="7"/>
      <c r="I1043" s="7"/>
      <c r="K1043" s="62"/>
      <c r="L1043" s="7"/>
      <c r="M1043" s="7"/>
      <c r="O1043" s="7"/>
      <c r="Q1043" s="7"/>
      <c r="S1043" s="7"/>
      <c r="U1043" s="7"/>
      <c r="W1043" s="7"/>
    </row>
    <row r="1044">
      <c r="E1044" s="67"/>
      <c r="F1044" s="7"/>
      <c r="G1044" s="7"/>
      <c r="I1044" s="7"/>
      <c r="K1044" s="62"/>
      <c r="L1044" s="7"/>
      <c r="M1044" s="7"/>
      <c r="O1044" s="7"/>
      <c r="Q1044" s="7"/>
      <c r="S1044" s="7"/>
      <c r="U1044" s="7"/>
      <c r="W1044" s="7"/>
    </row>
    <row r="1045">
      <c r="E1045" s="67"/>
      <c r="F1045" s="7"/>
      <c r="G1045" s="7"/>
      <c r="I1045" s="7"/>
      <c r="K1045" s="62"/>
      <c r="L1045" s="7"/>
      <c r="M1045" s="7"/>
      <c r="O1045" s="7"/>
      <c r="Q1045" s="7"/>
      <c r="S1045" s="7"/>
      <c r="U1045" s="7"/>
      <c r="W1045" s="7"/>
    </row>
    <row r="1046">
      <c r="E1046" s="67"/>
      <c r="F1046" s="7"/>
      <c r="G1046" s="7"/>
      <c r="I1046" s="7"/>
      <c r="K1046" s="62"/>
      <c r="L1046" s="7"/>
      <c r="M1046" s="7"/>
      <c r="O1046" s="7"/>
      <c r="Q1046" s="7"/>
      <c r="S1046" s="7"/>
      <c r="U1046" s="7"/>
      <c r="W1046" s="7"/>
    </row>
    <row r="1047">
      <c r="E1047" s="67"/>
      <c r="F1047" s="7"/>
      <c r="G1047" s="7"/>
      <c r="I1047" s="7"/>
      <c r="K1047" s="62"/>
      <c r="L1047" s="7"/>
      <c r="M1047" s="7"/>
      <c r="O1047" s="7"/>
      <c r="Q1047" s="7"/>
      <c r="S1047" s="7"/>
      <c r="U1047" s="7"/>
      <c r="W1047" s="7"/>
    </row>
    <row r="1048">
      <c r="E1048" s="67"/>
      <c r="F1048" s="7"/>
      <c r="G1048" s="7"/>
      <c r="I1048" s="7"/>
      <c r="K1048" s="62"/>
      <c r="L1048" s="7"/>
      <c r="M1048" s="7"/>
      <c r="O1048" s="7"/>
      <c r="Q1048" s="7"/>
      <c r="S1048" s="7"/>
      <c r="U1048" s="7"/>
      <c r="W1048" s="7"/>
    </row>
    <row r="1049">
      <c r="E1049" s="67"/>
      <c r="F1049" s="7"/>
      <c r="G1049" s="7"/>
      <c r="I1049" s="7"/>
      <c r="K1049" s="62"/>
      <c r="L1049" s="7"/>
      <c r="M1049" s="7"/>
      <c r="O1049" s="7"/>
      <c r="Q1049" s="7"/>
      <c r="S1049" s="7"/>
      <c r="U1049" s="7"/>
      <c r="W1049" s="7"/>
    </row>
    <row r="1050">
      <c r="E1050" s="67"/>
      <c r="F1050" s="7"/>
      <c r="G1050" s="7"/>
      <c r="I1050" s="7"/>
      <c r="K1050" s="62"/>
      <c r="L1050" s="7"/>
      <c r="M1050" s="7"/>
      <c r="O1050" s="7"/>
      <c r="Q1050" s="7"/>
      <c r="S1050" s="7"/>
      <c r="U1050" s="7"/>
      <c r="W1050" s="7"/>
    </row>
    <row r="1051">
      <c r="E1051" s="67"/>
      <c r="F1051" s="7"/>
      <c r="G1051" s="7"/>
      <c r="I1051" s="7"/>
      <c r="K1051" s="62"/>
      <c r="L1051" s="7"/>
      <c r="M1051" s="7"/>
      <c r="O1051" s="7"/>
      <c r="Q1051" s="7"/>
      <c r="S1051" s="7"/>
      <c r="U1051" s="7"/>
      <c r="W1051" s="7"/>
    </row>
    <row r="1052">
      <c r="E1052" s="67"/>
      <c r="F1052" s="7"/>
      <c r="G1052" s="7"/>
      <c r="I1052" s="7"/>
      <c r="K1052" s="62"/>
      <c r="L1052" s="7"/>
      <c r="M1052" s="7"/>
      <c r="O1052" s="7"/>
      <c r="Q1052" s="7"/>
      <c r="S1052" s="7"/>
      <c r="U1052" s="7"/>
      <c r="W1052" s="7"/>
    </row>
    <row r="1053">
      <c r="E1053" s="67"/>
      <c r="F1053" s="7"/>
      <c r="G1053" s="7"/>
      <c r="I1053" s="7"/>
      <c r="K1053" s="62"/>
      <c r="L1053" s="7"/>
      <c r="M1053" s="7"/>
      <c r="O1053" s="7"/>
      <c r="Q1053" s="7"/>
      <c r="S1053" s="7"/>
      <c r="U1053" s="7"/>
      <c r="W1053" s="7"/>
    </row>
    <row r="1054">
      <c r="E1054" s="67"/>
      <c r="F1054" s="7"/>
      <c r="G1054" s="7"/>
      <c r="I1054" s="7"/>
      <c r="K1054" s="62"/>
      <c r="L1054" s="7"/>
      <c r="M1054" s="7"/>
      <c r="O1054" s="7"/>
      <c r="Q1054" s="7"/>
      <c r="S1054" s="7"/>
      <c r="U1054" s="7"/>
      <c r="W1054" s="7"/>
    </row>
    <row r="1055">
      <c r="E1055" s="67"/>
      <c r="F1055" s="7"/>
      <c r="G1055" s="7"/>
      <c r="I1055" s="7"/>
      <c r="K1055" s="62"/>
      <c r="L1055" s="7"/>
      <c r="M1055" s="7"/>
      <c r="O1055" s="7"/>
      <c r="Q1055" s="7"/>
      <c r="S1055" s="7"/>
      <c r="U1055" s="7"/>
      <c r="W1055" s="7"/>
    </row>
    <row r="1056">
      <c r="E1056" s="67"/>
      <c r="F1056" s="7"/>
      <c r="G1056" s="7"/>
      <c r="I1056" s="7"/>
      <c r="K1056" s="62"/>
      <c r="L1056" s="7"/>
      <c r="M1056" s="7"/>
      <c r="O1056" s="7"/>
      <c r="Q1056" s="7"/>
      <c r="S1056" s="7"/>
      <c r="U1056" s="7"/>
      <c r="W1056" s="7"/>
    </row>
    <row r="1057">
      <c r="E1057" s="67"/>
      <c r="F1057" s="7"/>
      <c r="G1057" s="7"/>
      <c r="I1057" s="7"/>
      <c r="K1057" s="62"/>
      <c r="L1057" s="7"/>
      <c r="M1057" s="7"/>
      <c r="O1057" s="7"/>
      <c r="Q1057" s="7"/>
      <c r="S1057" s="7"/>
      <c r="U1057" s="7"/>
      <c r="W1057" s="7"/>
    </row>
    <row r="1058">
      <c r="E1058" s="67"/>
      <c r="F1058" s="7"/>
      <c r="G1058" s="7"/>
      <c r="I1058" s="7"/>
      <c r="K1058" s="62"/>
      <c r="L1058" s="7"/>
      <c r="M1058" s="7"/>
      <c r="O1058" s="7"/>
      <c r="Q1058" s="7"/>
      <c r="S1058" s="7"/>
      <c r="U1058" s="7"/>
      <c r="W1058" s="7"/>
    </row>
    <row r="1059">
      <c r="E1059" s="67"/>
      <c r="F1059" s="7"/>
      <c r="G1059" s="7"/>
      <c r="I1059" s="7"/>
      <c r="K1059" s="62"/>
      <c r="L1059" s="7"/>
      <c r="M1059" s="7"/>
      <c r="O1059" s="7"/>
      <c r="Q1059" s="7"/>
      <c r="S1059" s="7"/>
      <c r="U1059" s="7"/>
      <c r="W1059" s="7"/>
    </row>
    <row r="1060">
      <c r="E1060" s="67"/>
      <c r="F1060" s="7"/>
      <c r="G1060" s="7"/>
      <c r="I1060" s="7"/>
      <c r="K1060" s="62"/>
      <c r="L1060" s="7"/>
      <c r="M1060" s="7"/>
      <c r="O1060" s="7"/>
      <c r="Q1060" s="7"/>
      <c r="S1060" s="7"/>
      <c r="U1060" s="7"/>
      <c r="W1060" s="7"/>
    </row>
    <row r="1061">
      <c r="E1061" s="67"/>
      <c r="F1061" s="7"/>
      <c r="G1061" s="7"/>
      <c r="I1061" s="7"/>
      <c r="K1061" s="62"/>
      <c r="L1061" s="7"/>
      <c r="M1061" s="7"/>
      <c r="O1061" s="7"/>
      <c r="Q1061" s="7"/>
      <c r="S1061" s="7"/>
      <c r="U1061" s="7"/>
      <c r="W1061" s="7"/>
    </row>
    <row r="1062">
      <c r="E1062" s="67"/>
      <c r="F1062" s="7"/>
      <c r="G1062" s="7"/>
      <c r="I1062" s="7"/>
      <c r="K1062" s="62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396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4" t="s">
        <v>34</v>
      </c>
      <c r="F5" s="31" t="s">
        <v>35</v>
      </c>
      <c r="G5" s="32"/>
      <c r="H5" s="26" t="s">
        <v>33</v>
      </c>
      <c r="I5" s="27"/>
      <c r="J5" s="28"/>
      <c r="K5" s="34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 t="s">
        <v>397</v>
      </c>
      <c r="C6" s="27"/>
      <c r="D6" s="28"/>
      <c r="E6" s="34">
        <v>43786.0</v>
      </c>
      <c r="F6" s="31">
        <v>7.0</v>
      </c>
      <c r="G6" s="32"/>
      <c r="H6" s="35" t="s">
        <v>39</v>
      </c>
      <c r="I6" s="27"/>
      <c r="J6" s="28"/>
      <c r="K6" s="59">
        <v>43774.0</v>
      </c>
      <c r="L6" s="3">
        <v>1.5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59"/>
      <c r="F7" s="31"/>
      <c r="G7" s="37"/>
      <c r="H7" s="35" t="s">
        <v>398</v>
      </c>
      <c r="I7" s="27"/>
      <c r="J7" s="28"/>
      <c r="K7" s="59">
        <v>43773.0</v>
      </c>
      <c r="L7" s="3">
        <v>3.5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4"/>
      <c r="F8" s="31"/>
      <c r="G8" s="37"/>
      <c r="H8" s="35" t="s">
        <v>39</v>
      </c>
      <c r="I8" s="27"/>
      <c r="J8" s="28"/>
      <c r="K8" s="59">
        <v>43778.0</v>
      </c>
      <c r="L8" s="3">
        <v>2.0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4"/>
      <c r="F9" s="31"/>
      <c r="G9" s="37"/>
      <c r="H9" s="35" t="s">
        <v>385</v>
      </c>
      <c r="I9" s="27"/>
      <c r="J9" s="28"/>
      <c r="K9" s="59">
        <v>43778.0</v>
      </c>
      <c r="L9" s="3">
        <v>9.79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4"/>
      <c r="F10" s="31"/>
      <c r="G10" s="37"/>
      <c r="H10" s="35" t="s">
        <v>39</v>
      </c>
      <c r="I10" s="27"/>
      <c r="J10" s="28"/>
      <c r="K10" s="59">
        <v>43779.0</v>
      </c>
      <c r="L10" s="3">
        <v>2.0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4"/>
      <c r="F11" s="31"/>
      <c r="G11" s="37"/>
      <c r="H11" s="35" t="s">
        <v>39</v>
      </c>
      <c r="I11" s="27"/>
      <c r="J11" s="28"/>
      <c r="K11" s="59">
        <v>43782.0</v>
      </c>
      <c r="L11" s="3">
        <v>1.0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4"/>
      <c r="F12" s="40"/>
      <c r="G12" s="37"/>
      <c r="H12" s="35" t="s">
        <v>39</v>
      </c>
      <c r="I12" s="27"/>
      <c r="J12" s="28"/>
      <c r="K12" s="59">
        <v>43783.0</v>
      </c>
      <c r="L12" s="3">
        <v>1.0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4"/>
      <c r="F13" s="40"/>
      <c r="G13" s="37"/>
      <c r="H13" s="35" t="s">
        <v>39</v>
      </c>
      <c r="I13" s="27"/>
      <c r="J13" s="28"/>
      <c r="K13" s="59">
        <v>43788.0</v>
      </c>
      <c r="L13" s="3">
        <v>1.5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4"/>
      <c r="F14" s="40"/>
      <c r="G14" s="37"/>
      <c r="H14" s="35" t="s">
        <v>39</v>
      </c>
      <c r="I14" s="27"/>
      <c r="J14" s="28"/>
      <c r="K14" s="59">
        <v>43787.0</v>
      </c>
      <c r="L14" s="3">
        <v>1.5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4"/>
      <c r="F15" s="40"/>
      <c r="G15" s="37"/>
      <c r="H15" s="35" t="s">
        <v>372</v>
      </c>
      <c r="I15" s="27"/>
      <c r="J15" s="28"/>
      <c r="K15" s="59">
        <v>43787.0</v>
      </c>
      <c r="L15" s="3">
        <v>2.0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4"/>
      <c r="F16" s="40"/>
      <c r="G16" s="37"/>
      <c r="H16" s="35" t="s">
        <v>39</v>
      </c>
      <c r="I16" s="27"/>
      <c r="J16" s="28"/>
      <c r="K16" s="58">
        <v>43789.0</v>
      </c>
      <c r="L16" s="3">
        <v>1.5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4"/>
      <c r="F17" s="40"/>
      <c r="G17" s="37"/>
      <c r="H17" s="35" t="s">
        <v>39</v>
      </c>
      <c r="I17" s="27"/>
      <c r="J17" s="28"/>
      <c r="K17" s="59">
        <v>43791.0</v>
      </c>
      <c r="L17" s="3">
        <v>1.5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4"/>
      <c r="F18" s="40"/>
      <c r="G18" s="37"/>
      <c r="H18" s="35" t="s">
        <v>39</v>
      </c>
      <c r="I18" s="27"/>
      <c r="J18" s="28"/>
      <c r="K18" s="58">
        <v>43792.0</v>
      </c>
      <c r="L18" s="3">
        <v>2.0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4"/>
      <c r="F19" s="40"/>
      <c r="G19" s="37"/>
      <c r="H19" s="35" t="s">
        <v>39</v>
      </c>
      <c r="I19" s="27"/>
      <c r="J19" s="28"/>
      <c r="K19" s="59">
        <v>43796.0</v>
      </c>
      <c r="L19" s="3">
        <v>1.0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4"/>
      <c r="F20" s="40"/>
      <c r="G20" s="37"/>
      <c r="H20" s="35"/>
      <c r="I20" s="27"/>
      <c r="J20" s="28"/>
      <c r="K20" s="59"/>
      <c r="L20" s="3"/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4"/>
      <c r="F21" s="40"/>
      <c r="G21" s="37"/>
      <c r="H21" s="43"/>
      <c r="I21" s="27"/>
      <c r="J21" s="28"/>
      <c r="K21" s="59"/>
      <c r="L21" s="3"/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4"/>
      <c r="F22" s="40"/>
      <c r="G22" s="37"/>
      <c r="H22" s="43"/>
      <c r="I22" s="27"/>
      <c r="J22" s="28"/>
      <c r="K22" s="59"/>
      <c r="L22" s="3"/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4"/>
      <c r="F23" s="40"/>
      <c r="G23" s="37"/>
      <c r="H23" s="43"/>
      <c r="I23" s="27"/>
      <c r="J23" s="28"/>
      <c r="K23" s="58"/>
      <c r="L23" s="3"/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4"/>
      <c r="F24" s="40"/>
      <c r="G24" s="37"/>
      <c r="H24" s="43"/>
      <c r="I24" s="27"/>
      <c r="J24" s="28"/>
      <c r="K24" s="58"/>
      <c r="L24" s="3"/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4"/>
      <c r="F25" s="40"/>
      <c r="G25" s="37"/>
      <c r="H25" s="43"/>
      <c r="I25" s="27"/>
      <c r="J25" s="28"/>
      <c r="K25" s="59"/>
      <c r="L25" s="3"/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4"/>
      <c r="F26" s="40"/>
      <c r="G26" s="37"/>
      <c r="H26" s="43"/>
      <c r="I26" s="27"/>
      <c r="J26" s="28"/>
      <c r="K26" s="59"/>
      <c r="L26" s="3"/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4"/>
      <c r="F27" s="40"/>
      <c r="G27" s="37"/>
      <c r="H27" s="43"/>
      <c r="I27" s="27"/>
      <c r="J27" s="28"/>
      <c r="K27" s="59"/>
      <c r="L27" s="3"/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4"/>
      <c r="F28" s="40"/>
      <c r="G28" s="37"/>
      <c r="H28" s="43"/>
      <c r="I28" s="27"/>
      <c r="J28" s="28"/>
      <c r="K28" s="58"/>
      <c r="L28" s="3"/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4"/>
      <c r="F29" s="40"/>
      <c r="G29" s="37"/>
      <c r="H29" s="43"/>
      <c r="I29" s="27"/>
      <c r="J29" s="28"/>
      <c r="K29" s="58"/>
      <c r="L29" s="3"/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4"/>
      <c r="F30" s="40"/>
      <c r="G30" s="37"/>
      <c r="H30" s="43"/>
      <c r="I30" s="27"/>
      <c r="J30" s="28"/>
      <c r="K30" s="59"/>
      <c r="L30" s="3"/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4"/>
      <c r="F31" s="40"/>
      <c r="G31" s="37"/>
      <c r="H31" s="43"/>
      <c r="I31" s="27"/>
      <c r="J31" s="28"/>
      <c r="K31" s="59"/>
      <c r="L31" s="3"/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4"/>
      <c r="F32" s="40"/>
      <c r="G32" s="37"/>
      <c r="H32" s="43"/>
      <c r="I32" s="27"/>
      <c r="J32" s="28"/>
      <c r="K32" s="59"/>
      <c r="L32" s="3"/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4"/>
      <c r="F33" s="40"/>
      <c r="G33" s="37"/>
      <c r="H33" s="43"/>
      <c r="I33" s="27"/>
      <c r="J33" s="28"/>
      <c r="K33" s="59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4"/>
      <c r="F34" s="40"/>
      <c r="G34" s="37"/>
      <c r="H34" s="43"/>
      <c r="I34" s="27"/>
      <c r="J34" s="28"/>
      <c r="K34" s="59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4"/>
      <c r="F35" s="40"/>
      <c r="G35" s="37"/>
      <c r="H35" s="43"/>
      <c r="I35" s="27"/>
      <c r="J35" s="28"/>
      <c r="K35" s="59"/>
      <c r="L35" s="3"/>
      <c r="M35" s="7"/>
      <c r="N35" s="41"/>
      <c r="O35" s="42"/>
      <c r="Q35" s="7"/>
      <c r="S35" s="7"/>
      <c r="U35" s="7"/>
      <c r="W35" s="7"/>
    </row>
    <row r="36">
      <c r="A36" s="33"/>
      <c r="B36" s="39"/>
      <c r="C36" s="27"/>
      <c r="D36" s="28"/>
      <c r="E36" s="34"/>
      <c r="F36" s="40"/>
      <c r="G36" s="37"/>
      <c r="H36" s="43"/>
      <c r="I36" s="27"/>
      <c r="J36" s="28"/>
      <c r="K36" s="59"/>
      <c r="L36" s="3"/>
      <c r="M36" s="7"/>
      <c r="N36" s="41"/>
      <c r="O36" s="42"/>
      <c r="Q36" s="7"/>
      <c r="S36" s="7"/>
      <c r="U36" s="7"/>
      <c r="W36" s="7"/>
    </row>
    <row r="37">
      <c r="A37" s="2"/>
      <c r="B37" s="35" t="s">
        <v>17</v>
      </c>
      <c r="C37" s="27"/>
      <c r="D37" s="28"/>
      <c r="E37" s="60"/>
      <c r="F37" s="6">
        <f>SUM(F6:F12)</f>
        <v>7</v>
      </c>
      <c r="G37" s="7"/>
      <c r="H37" s="35" t="s">
        <v>17</v>
      </c>
      <c r="I37" s="27"/>
      <c r="J37" s="28"/>
      <c r="K37" s="60"/>
      <c r="L37" s="6">
        <f>SUM(L6:L36)</f>
        <v>31.79</v>
      </c>
      <c r="M37" s="7"/>
      <c r="N37" s="41"/>
      <c r="O37" s="20"/>
      <c r="Q37" s="7"/>
      <c r="S37" s="7"/>
      <c r="U37" s="7"/>
      <c r="W37" s="7"/>
    </row>
    <row r="38" ht="9.0" customHeight="1">
      <c r="A38" s="25"/>
      <c r="B38" s="25"/>
      <c r="C38" s="25"/>
      <c r="D38" s="25"/>
      <c r="E38" s="61"/>
      <c r="F38" s="25"/>
      <c r="G38" s="25"/>
      <c r="H38" s="25"/>
      <c r="I38" s="25"/>
      <c r="J38" s="25"/>
      <c r="K38" s="61"/>
      <c r="L38" s="25"/>
      <c r="M38" s="7"/>
      <c r="N38" s="46"/>
      <c r="O38" s="47"/>
      <c r="Q38" s="7"/>
      <c r="S38" s="7"/>
      <c r="U38" s="7"/>
      <c r="W38" s="7"/>
    </row>
    <row r="39">
      <c r="A39" s="25"/>
      <c r="B39" s="26" t="s">
        <v>26</v>
      </c>
      <c r="C39" s="27"/>
      <c r="D39" s="27"/>
      <c r="E39" s="27"/>
      <c r="F39" s="28"/>
      <c r="G39" s="25"/>
      <c r="H39" s="26" t="s">
        <v>25</v>
      </c>
      <c r="I39" s="27"/>
      <c r="J39" s="27"/>
      <c r="K39" s="27"/>
      <c r="L39" s="28"/>
      <c r="M39" s="7"/>
      <c r="N39" s="46"/>
      <c r="O39" s="47"/>
      <c r="Q39" s="7"/>
      <c r="S39" s="7"/>
      <c r="U39" s="7"/>
      <c r="W39" s="7"/>
    </row>
    <row r="40">
      <c r="A40" s="25"/>
      <c r="B40" s="26" t="s">
        <v>33</v>
      </c>
      <c r="C40" s="27"/>
      <c r="D40" s="28"/>
      <c r="E40" s="34" t="s">
        <v>34</v>
      </c>
      <c r="F40" s="31" t="s">
        <v>35</v>
      </c>
      <c r="G40" s="32"/>
      <c r="H40" s="26" t="s">
        <v>33</v>
      </c>
      <c r="I40" s="27"/>
      <c r="J40" s="28"/>
      <c r="K40" s="34" t="s">
        <v>34</v>
      </c>
      <c r="L40" s="31" t="s">
        <v>35</v>
      </c>
      <c r="M40" s="7"/>
      <c r="O40" s="7"/>
      <c r="Q40" s="7"/>
      <c r="S40" s="7"/>
      <c r="U40" s="7"/>
      <c r="W40" s="7"/>
    </row>
    <row r="41">
      <c r="A41" s="2"/>
      <c r="B41" s="35" t="s">
        <v>399</v>
      </c>
      <c r="C41" s="27"/>
      <c r="D41" s="28"/>
      <c r="E41" s="59">
        <v>43770.0</v>
      </c>
      <c r="F41" s="3">
        <v>100.0</v>
      </c>
      <c r="G41" s="5"/>
      <c r="H41" s="35" t="s">
        <v>323</v>
      </c>
      <c r="I41" s="27"/>
      <c r="J41" s="28"/>
      <c r="K41" s="59">
        <v>43777.0</v>
      </c>
      <c r="L41" s="3">
        <v>8.0</v>
      </c>
      <c r="M41" s="5"/>
      <c r="O41" s="7"/>
      <c r="Q41" s="7"/>
      <c r="S41" s="7"/>
      <c r="U41" s="7"/>
      <c r="W41" s="7"/>
    </row>
    <row r="42">
      <c r="A42" s="50"/>
      <c r="B42" s="35" t="s">
        <v>400</v>
      </c>
      <c r="C42" s="27"/>
      <c r="D42" s="28"/>
      <c r="E42" s="59">
        <v>43773.0</v>
      </c>
      <c r="F42" s="3">
        <v>160.0</v>
      </c>
      <c r="G42" s="7"/>
      <c r="H42" s="35" t="s">
        <v>175</v>
      </c>
      <c r="I42" s="27"/>
      <c r="J42" s="28"/>
      <c r="K42" s="59">
        <v>43789.0</v>
      </c>
      <c r="L42" s="49">
        <f>9-4</f>
        <v>5</v>
      </c>
      <c r="M42" s="7"/>
      <c r="O42" s="7"/>
      <c r="Q42" s="7"/>
      <c r="S42" s="7"/>
      <c r="U42" s="7"/>
      <c r="W42" s="7"/>
    </row>
    <row r="43">
      <c r="A43" s="50"/>
      <c r="B43" s="35" t="s">
        <v>401</v>
      </c>
      <c r="C43" s="27"/>
      <c r="D43" s="28"/>
      <c r="E43" s="59">
        <v>43779.0</v>
      </c>
      <c r="F43" s="3">
        <v>50.0</v>
      </c>
      <c r="G43" s="7"/>
      <c r="H43" s="35" t="s">
        <v>402</v>
      </c>
      <c r="I43" s="27"/>
      <c r="J43" s="28"/>
      <c r="K43" s="59">
        <v>43791.0</v>
      </c>
      <c r="L43" s="49">
        <v>3.29</v>
      </c>
      <c r="M43" s="7"/>
      <c r="O43" s="7"/>
      <c r="Q43" s="7"/>
      <c r="S43" s="7"/>
      <c r="U43" s="7"/>
      <c r="W43" s="7"/>
    </row>
    <row r="44">
      <c r="A44" s="50"/>
      <c r="B44" s="35" t="s">
        <v>403</v>
      </c>
      <c r="C44" s="27"/>
      <c r="D44" s="28"/>
      <c r="E44" s="59">
        <v>43780.0</v>
      </c>
      <c r="F44" s="3">
        <v>89.9</v>
      </c>
      <c r="G44" s="7"/>
      <c r="H44" s="35" t="s">
        <v>404</v>
      </c>
      <c r="I44" s="27"/>
      <c r="J44" s="28"/>
      <c r="K44" s="59">
        <v>43791.0</v>
      </c>
      <c r="L44" s="49">
        <v>3.39</v>
      </c>
      <c r="M44" s="7"/>
      <c r="O44" s="7"/>
      <c r="Q44" s="7"/>
      <c r="S44" s="7"/>
      <c r="U44" s="7"/>
      <c r="W44" s="7"/>
    </row>
    <row r="45">
      <c r="A45" s="50"/>
      <c r="B45" s="35" t="s">
        <v>405</v>
      </c>
      <c r="C45" s="27"/>
      <c r="D45" s="28"/>
      <c r="E45" s="59">
        <v>43781.0</v>
      </c>
      <c r="F45" s="3">
        <v>22.0</v>
      </c>
      <c r="G45" s="7"/>
      <c r="H45" s="35" t="s">
        <v>323</v>
      </c>
      <c r="I45" s="27"/>
      <c r="J45" s="28"/>
      <c r="K45" s="59">
        <v>43792.0</v>
      </c>
      <c r="L45" s="49">
        <v>4.0</v>
      </c>
      <c r="M45" s="7"/>
      <c r="O45" s="7"/>
      <c r="Q45" s="7"/>
      <c r="S45" s="7"/>
      <c r="U45" s="7"/>
      <c r="W45" s="7"/>
    </row>
    <row r="46">
      <c r="A46" s="50"/>
      <c r="B46" s="35" t="s">
        <v>406</v>
      </c>
      <c r="C46" s="27"/>
      <c r="D46" s="28"/>
      <c r="E46" s="59">
        <v>43785.0</v>
      </c>
      <c r="F46" s="3">
        <v>650.0</v>
      </c>
      <c r="G46" s="7"/>
      <c r="H46" s="35" t="s">
        <v>402</v>
      </c>
      <c r="I46" s="27"/>
      <c r="J46" s="28"/>
      <c r="K46" s="59">
        <v>43796.0</v>
      </c>
      <c r="L46" s="49">
        <v>4.0</v>
      </c>
      <c r="M46" s="7"/>
      <c r="O46" s="7"/>
      <c r="P46" s="2"/>
      <c r="Q46" s="7"/>
      <c r="S46" s="7"/>
      <c r="U46" s="7"/>
      <c r="W46" s="7"/>
    </row>
    <row r="47">
      <c r="A47" s="50"/>
      <c r="B47" s="35" t="s">
        <v>407</v>
      </c>
      <c r="C47" s="27"/>
      <c r="D47" s="28"/>
      <c r="E47" s="59">
        <v>43785.0</v>
      </c>
      <c r="F47" s="3">
        <v>40.0</v>
      </c>
      <c r="G47" s="7"/>
      <c r="H47" s="35" t="s">
        <v>402</v>
      </c>
      <c r="I47" s="27"/>
      <c r="J47" s="28"/>
      <c r="K47" s="59">
        <v>43798.0</v>
      </c>
      <c r="L47" s="49">
        <v>4.0</v>
      </c>
      <c r="M47" s="7"/>
      <c r="O47" s="7"/>
      <c r="Q47" s="7"/>
      <c r="S47" s="7"/>
      <c r="U47" s="7"/>
      <c r="W47" s="7"/>
    </row>
    <row r="48">
      <c r="A48" s="50"/>
      <c r="B48" s="35" t="s">
        <v>408</v>
      </c>
      <c r="C48" s="27"/>
      <c r="D48" s="28"/>
      <c r="E48" s="59">
        <v>43786.0</v>
      </c>
      <c r="F48" s="3">
        <v>110.0</v>
      </c>
      <c r="G48" s="7"/>
      <c r="H48" s="35" t="s">
        <v>409</v>
      </c>
      <c r="I48" s="27"/>
      <c r="J48" s="28"/>
      <c r="K48" s="59">
        <v>43798.0</v>
      </c>
      <c r="L48" s="49">
        <v>11.89</v>
      </c>
      <c r="M48" s="7"/>
      <c r="O48" s="7"/>
      <c r="Q48" s="7"/>
      <c r="S48" s="7"/>
      <c r="U48" s="7"/>
      <c r="W48" s="7"/>
    </row>
    <row r="49">
      <c r="A49" s="50"/>
      <c r="B49" s="35" t="s">
        <v>198</v>
      </c>
      <c r="C49" s="27"/>
      <c r="D49" s="28"/>
      <c r="E49" s="59">
        <v>43786.0</v>
      </c>
      <c r="F49" s="3">
        <v>2.6</v>
      </c>
      <c r="G49" s="7"/>
      <c r="H49" s="35" t="s">
        <v>410</v>
      </c>
      <c r="I49" s="27"/>
      <c r="J49" s="28"/>
      <c r="K49" s="58">
        <v>43798.0</v>
      </c>
      <c r="L49" s="49">
        <v>10.0</v>
      </c>
      <c r="M49" s="7"/>
      <c r="O49" s="7"/>
      <c r="Q49" s="7"/>
      <c r="S49" s="7"/>
      <c r="U49" s="7"/>
      <c r="W49" s="7"/>
    </row>
    <row r="50">
      <c r="A50" s="50"/>
      <c r="B50" s="35" t="s">
        <v>411</v>
      </c>
      <c r="C50" s="27"/>
      <c r="D50" s="28"/>
      <c r="E50" s="59">
        <v>43786.0</v>
      </c>
      <c r="F50" s="3">
        <f>25.95/2</f>
        <v>12.975</v>
      </c>
      <c r="G50" s="7"/>
      <c r="H50" s="35"/>
      <c r="I50" s="27"/>
      <c r="J50" s="28"/>
      <c r="K50" s="59"/>
      <c r="L50" s="49"/>
      <c r="M50" s="7"/>
      <c r="O50" s="7"/>
      <c r="Q50" s="7"/>
      <c r="S50" s="7"/>
      <c r="U50" s="7"/>
      <c r="W50" s="7"/>
    </row>
    <row r="51">
      <c r="A51" s="50"/>
      <c r="B51" s="35" t="s">
        <v>412</v>
      </c>
      <c r="C51" s="27"/>
      <c r="D51" s="28"/>
      <c r="E51" s="59">
        <v>43792.0</v>
      </c>
      <c r="F51" s="3">
        <v>0.5</v>
      </c>
      <c r="G51" s="7"/>
      <c r="H51" s="52"/>
      <c r="I51" s="27"/>
      <c r="J51" s="28"/>
      <c r="K51" s="60"/>
      <c r="L51" s="51"/>
      <c r="M51" s="7"/>
      <c r="O51" s="7"/>
      <c r="Q51" s="7"/>
      <c r="S51" s="7"/>
      <c r="U51" s="7"/>
      <c r="W51" s="7"/>
    </row>
    <row r="52">
      <c r="A52" s="50"/>
      <c r="B52" s="35" t="s">
        <v>413</v>
      </c>
      <c r="C52" s="27"/>
      <c r="D52" s="28"/>
      <c r="E52" s="58">
        <v>43792.0</v>
      </c>
      <c r="F52" s="3">
        <f>72.54-35</f>
        <v>37.54</v>
      </c>
      <c r="G52" s="7"/>
      <c r="H52" s="52"/>
      <c r="I52" s="27"/>
      <c r="J52" s="28"/>
      <c r="K52" s="60"/>
      <c r="L52" s="51"/>
      <c r="M52" s="7"/>
      <c r="O52" s="7"/>
      <c r="Q52" s="7"/>
      <c r="S52" s="7"/>
      <c r="U52" s="7"/>
      <c r="W52" s="7"/>
    </row>
    <row r="53">
      <c r="A53" s="50"/>
      <c r="B53" s="35" t="s">
        <v>359</v>
      </c>
      <c r="C53" s="27"/>
      <c r="D53" s="28"/>
      <c r="E53" s="58">
        <v>43795.0</v>
      </c>
      <c r="F53" s="3">
        <v>8.0</v>
      </c>
      <c r="G53" s="7"/>
      <c r="H53" s="52"/>
      <c r="I53" s="27"/>
      <c r="J53" s="28"/>
      <c r="K53" s="60"/>
      <c r="L53" s="51"/>
      <c r="M53" s="7"/>
      <c r="O53" s="7"/>
      <c r="Q53" s="7"/>
      <c r="S53" s="7"/>
      <c r="U53" s="7"/>
      <c r="W53" s="7"/>
    </row>
    <row r="54">
      <c r="A54" s="50"/>
      <c r="B54" s="35"/>
      <c r="C54" s="27"/>
      <c r="D54" s="28"/>
      <c r="E54" s="58"/>
      <c r="F54" s="3"/>
      <c r="G54" s="7"/>
      <c r="H54" s="52"/>
      <c r="I54" s="27"/>
      <c r="J54" s="28"/>
      <c r="K54" s="60"/>
      <c r="L54" s="51"/>
      <c r="M54" s="7"/>
      <c r="O54" s="7"/>
      <c r="Q54" s="7"/>
      <c r="S54" s="7"/>
      <c r="U54" s="7"/>
      <c r="W54" s="7"/>
    </row>
    <row r="55">
      <c r="A55" s="50"/>
      <c r="B55" s="35"/>
      <c r="C55" s="27"/>
      <c r="D55" s="28"/>
      <c r="E55" s="59"/>
      <c r="F55" s="3"/>
      <c r="G55" s="7"/>
      <c r="H55" s="52"/>
      <c r="I55" s="27"/>
      <c r="J55" s="28"/>
      <c r="K55" s="60"/>
      <c r="L55" s="51"/>
      <c r="M55" s="7"/>
      <c r="O55" s="7"/>
      <c r="Q55" s="7"/>
      <c r="S55" s="7"/>
      <c r="U55" s="7"/>
      <c r="W55" s="7"/>
    </row>
    <row r="56">
      <c r="A56" s="50"/>
      <c r="B56" s="35"/>
      <c r="C56" s="27"/>
      <c r="D56" s="28"/>
      <c r="E56" s="59"/>
      <c r="F56" s="3"/>
      <c r="G56" s="7"/>
      <c r="H56" s="52"/>
      <c r="I56" s="27"/>
      <c r="J56" s="28"/>
      <c r="K56" s="60"/>
      <c r="L56" s="51"/>
      <c r="M56" s="7"/>
      <c r="O56" s="7"/>
      <c r="Q56" s="7"/>
      <c r="S56" s="7"/>
      <c r="U56" s="7"/>
      <c r="W56" s="7"/>
    </row>
    <row r="57">
      <c r="A57" s="50"/>
      <c r="B57" s="35"/>
      <c r="C57" s="27"/>
      <c r="D57" s="28"/>
      <c r="E57" s="59"/>
      <c r="F57" s="3"/>
      <c r="G57" s="7"/>
      <c r="H57" s="52"/>
      <c r="I57" s="27"/>
      <c r="J57" s="28"/>
      <c r="K57" s="60"/>
      <c r="L57" s="51"/>
      <c r="M57" s="7"/>
      <c r="O57" s="7"/>
      <c r="Q57" s="7"/>
      <c r="S57" s="7"/>
      <c r="U57" s="7"/>
      <c r="W57" s="7"/>
    </row>
    <row r="58">
      <c r="A58" s="50"/>
      <c r="B58" s="35"/>
      <c r="C58" s="27"/>
      <c r="D58" s="28"/>
      <c r="E58" s="59"/>
      <c r="F58" s="3"/>
      <c r="G58" s="7"/>
      <c r="H58" s="52"/>
      <c r="I58" s="27"/>
      <c r="J58" s="28"/>
      <c r="K58" s="60"/>
      <c r="L58" s="51"/>
      <c r="M58" s="7"/>
      <c r="O58" s="7"/>
      <c r="Q58" s="7"/>
      <c r="S58" s="7"/>
      <c r="U58" s="7"/>
      <c r="W58" s="7"/>
    </row>
    <row r="59">
      <c r="A59" s="50"/>
      <c r="B59" s="35"/>
      <c r="C59" s="27"/>
      <c r="D59" s="28"/>
      <c r="E59" s="59"/>
      <c r="F59" s="3"/>
      <c r="G59" s="7"/>
      <c r="H59" s="52"/>
      <c r="I59" s="27"/>
      <c r="J59" s="28"/>
      <c r="K59" s="60"/>
      <c r="L59" s="51"/>
      <c r="M59" s="7"/>
      <c r="O59" s="7"/>
      <c r="Q59" s="7"/>
      <c r="S59" s="7"/>
      <c r="U59" s="7"/>
      <c r="W59" s="7"/>
    </row>
    <row r="60">
      <c r="A60" s="50"/>
      <c r="B60" s="35"/>
      <c r="C60" s="27"/>
      <c r="D60" s="28"/>
      <c r="E60" s="59"/>
      <c r="F60" s="3"/>
      <c r="G60" s="7"/>
      <c r="H60" s="52"/>
      <c r="I60" s="27"/>
      <c r="J60" s="28"/>
      <c r="K60" s="60"/>
      <c r="L60" s="51"/>
      <c r="M60" s="7"/>
      <c r="O60" s="7"/>
      <c r="Q60" s="7"/>
      <c r="S60" s="7"/>
      <c r="U60" s="7"/>
      <c r="W60" s="7"/>
    </row>
    <row r="61">
      <c r="A61" s="50"/>
      <c r="B61" s="35"/>
      <c r="C61" s="27"/>
      <c r="D61" s="28"/>
      <c r="E61" s="59"/>
      <c r="F61" s="3"/>
      <c r="G61" s="7"/>
      <c r="H61" s="52"/>
      <c r="I61" s="27"/>
      <c r="J61" s="28"/>
      <c r="K61" s="60"/>
      <c r="L61" s="51"/>
      <c r="M61" s="7"/>
      <c r="O61" s="7"/>
      <c r="Q61" s="7"/>
      <c r="S61" s="7"/>
      <c r="U61" s="7"/>
      <c r="W61" s="7"/>
    </row>
    <row r="62">
      <c r="A62" s="50"/>
      <c r="B62" s="35"/>
      <c r="C62" s="27"/>
      <c r="D62" s="28"/>
      <c r="E62" s="59"/>
      <c r="F62" s="3"/>
      <c r="G62" s="7"/>
      <c r="H62" s="52"/>
      <c r="I62" s="27"/>
      <c r="J62" s="28"/>
      <c r="K62" s="60"/>
      <c r="L62" s="51"/>
      <c r="M62" s="7"/>
      <c r="O62" s="7"/>
      <c r="Q62" s="7"/>
      <c r="S62" s="7"/>
      <c r="U62" s="7"/>
      <c r="W62" s="7"/>
    </row>
    <row r="63">
      <c r="A63" s="50"/>
      <c r="B63" s="35"/>
      <c r="C63" s="27"/>
      <c r="D63" s="28"/>
      <c r="E63" s="59"/>
      <c r="F63" s="3"/>
      <c r="G63" s="7"/>
      <c r="H63" s="52"/>
      <c r="I63" s="27"/>
      <c r="J63" s="28"/>
      <c r="K63" s="60"/>
      <c r="L63" s="51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7"/>
      <c r="D64" s="28"/>
      <c r="E64" s="60"/>
      <c r="F64" s="6">
        <f>SUM(F41:F63)</f>
        <v>1283.515</v>
      </c>
      <c r="G64" s="7"/>
      <c r="H64" s="52"/>
      <c r="I64" s="27"/>
      <c r="J64" s="28"/>
      <c r="K64" s="60"/>
      <c r="L64" s="6">
        <f>SUM(L41:L55)</f>
        <v>53.57</v>
      </c>
      <c r="M64" s="7"/>
      <c r="O64" s="7"/>
      <c r="Q64" s="7"/>
      <c r="S64" s="7"/>
      <c r="U64" s="7"/>
      <c r="W64" s="7"/>
    </row>
    <row r="65">
      <c r="A65" s="50"/>
      <c r="B65" s="50"/>
      <c r="C65" s="7"/>
      <c r="E65" s="62"/>
      <c r="F65" s="7"/>
      <c r="G65" s="7"/>
      <c r="I65" s="7"/>
      <c r="K65" s="62"/>
      <c r="L65" s="7"/>
      <c r="M65" s="7"/>
      <c r="O65" s="7"/>
      <c r="Q65" s="7"/>
      <c r="S65" s="7"/>
      <c r="U65" s="7"/>
      <c r="W65" s="7"/>
    </row>
    <row r="66">
      <c r="A66" s="25"/>
      <c r="B66" s="26" t="s">
        <v>24</v>
      </c>
      <c r="C66" s="27"/>
      <c r="D66" s="27"/>
      <c r="E66" s="27"/>
      <c r="F66" s="28"/>
      <c r="G66" s="7"/>
      <c r="H66" s="26" t="s">
        <v>19</v>
      </c>
      <c r="I66" s="27"/>
      <c r="J66" s="27"/>
      <c r="K66" s="27"/>
      <c r="L66" s="28"/>
      <c r="M66" s="7"/>
      <c r="O66" s="7"/>
      <c r="Q66" s="7"/>
      <c r="S66" s="7"/>
      <c r="U66" s="7"/>
      <c r="W66" s="7"/>
    </row>
    <row r="67">
      <c r="A67" s="25"/>
      <c r="B67" s="26" t="s">
        <v>33</v>
      </c>
      <c r="C67" s="27"/>
      <c r="D67" s="28"/>
      <c r="E67" s="34" t="s">
        <v>34</v>
      </c>
      <c r="F67" s="31" t="s">
        <v>35</v>
      </c>
      <c r="G67" s="7"/>
      <c r="H67" s="26" t="s">
        <v>33</v>
      </c>
      <c r="I67" s="27"/>
      <c r="J67" s="28"/>
      <c r="K67" s="34" t="s">
        <v>34</v>
      </c>
      <c r="L67" s="31" t="s">
        <v>35</v>
      </c>
      <c r="M67" s="7"/>
      <c r="O67" s="7"/>
      <c r="Q67" s="7"/>
      <c r="S67" s="7"/>
      <c r="U67" s="7"/>
      <c r="W67" s="7"/>
    </row>
    <row r="68">
      <c r="A68" s="2"/>
      <c r="B68" s="35"/>
      <c r="C68" s="27"/>
      <c r="D68" s="28"/>
      <c r="E68" s="58"/>
      <c r="F68" s="49"/>
      <c r="G68" s="7"/>
      <c r="H68" s="35" t="s">
        <v>122</v>
      </c>
      <c r="I68" s="27"/>
      <c r="J68" s="28"/>
      <c r="K68" s="59">
        <v>43786.0</v>
      </c>
      <c r="L68" s="3">
        <v>54.99</v>
      </c>
      <c r="M68" s="7"/>
      <c r="O68" s="7"/>
      <c r="Q68" s="7"/>
      <c r="S68" s="7"/>
      <c r="U68" s="7"/>
      <c r="W68" s="7"/>
    </row>
    <row r="69">
      <c r="A69" s="50"/>
      <c r="B69" s="35"/>
      <c r="C69" s="27"/>
      <c r="D69" s="28"/>
      <c r="E69" s="59"/>
      <c r="F69" s="3"/>
      <c r="G69" s="7"/>
      <c r="H69" s="35"/>
      <c r="I69" s="27"/>
      <c r="J69" s="28"/>
      <c r="K69" s="59"/>
      <c r="L69" s="3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60"/>
      <c r="F70" s="6"/>
      <c r="G70" s="7"/>
      <c r="H70" s="35"/>
      <c r="I70" s="27"/>
      <c r="J70" s="28"/>
      <c r="K70" s="59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60"/>
      <c r="F71" s="6"/>
      <c r="G71" s="7"/>
      <c r="H71" s="35"/>
      <c r="I71" s="27"/>
      <c r="J71" s="28"/>
      <c r="K71" s="59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60"/>
      <c r="F72" s="6"/>
      <c r="G72" s="7"/>
      <c r="H72" s="53"/>
      <c r="I72" s="27"/>
      <c r="J72" s="28"/>
      <c r="K72" s="60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60"/>
      <c r="F73" s="6"/>
      <c r="G73" s="7"/>
      <c r="H73" s="53"/>
      <c r="I73" s="27"/>
      <c r="J73" s="28"/>
      <c r="K73" s="60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60"/>
      <c r="F74" s="6"/>
      <c r="G74" s="7"/>
      <c r="H74" s="53"/>
      <c r="I74" s="27"/>
      <c r="J74" s="28"/>
      <c r="K74" s="60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7"/>
      <c r="D75" s="28"/>
      <c r="E75" s="60"/>
      <c r="F75" s="6">
        <f>SUM(F68:F74)</f>
        <v>0</v>
      </c>
      <c r="G75" s="7"/>
      <c r="H75" s="35" t="s">
        <v>17</v>
      </c>
      <c r="I75" s="27"/>
      <c r="J75" s="28"/>
      <c r="K75" s="60"/>
      <c r="L75" s="6">
        <f>SUM(L68:L74)</f>
        <v>54.99</v>
      </c>
      <c r="M75" s="7"/>
      <c r="O75" s="7"/>
      <c r="Q75" s="7"/>
      <c r="S75" s="7"/>
      <c r="U75" s="7"/>
      <c r="W75" s="7"/>
    </row>
    <row r="76">
      <c r="E76" s="62"/>
      <c r="F76" s="7"/>
      <c r="G76" s="7"/>
      <c r="I76" s="7"/>
      <c r="K76" s="62"/>
      <c r="L76" s="7"/>
      <c r="M76" s="7"/>
      <c r="O76" s="7"/>
      <c r="Q76" s="7"/>
      <c r="S76" s="7"/>
      <c r="U76" s="7"/>
      <c r="W76" s="7"/>
    </row>
    <row r="77">
      <c r="A77" s="25"/>
      <c r="B77" s="26" t="s">
        <v>21</v>
      </c>
      <c r="C77" s="27"/>
      <c r="D77" s="27"/>
      <c r="E77" s="27"/>
      <c r="F77" s="28"/>
      <c r="G77" s="7"/>
      <c r="H77" s="26" t="s">
        <v>20</v>
      </c>
      <c r="I77" s="27"/>
      <c r="J77" s="27"/>
      <c r="K77" s="27"/>
      <c r="L77" s="28"/>
      <c r="M77" s="7"/>
      <c r="O77" s="7"/>
      <c r="Q77" s="7"/>
      <c r="S77" s="7"/>
      <c r="U77" s="7"/>
      <c r="W77" s="7"/>
    </row>
    <row r="78">
      <c r="A78" s="25"/>
      <c r="B78" s="26" t="s">
        <v>33</v>
      </c>
      <c r="C78" s="27"/>
      <c r="D78" s="28"/>
      <c r="E78" s="34" t="s">
        <v>34</v>
      </c>
      <c r="F78" s="31" t="s">
        <v>35</v>
      </c>
      <c r="G78" s="7"/>
      <c r="H78" s="26" t="s">
        <v>33</v>
      </c>
      <c r="I78" s="27"/>
      <c r="J78" s="28"/>
      <c r="K78" s="34" t="s">
        <v>34</v>
      </c>
      <c r="L78" s="31" t="s">
        <v>35</v>
      </c>
      <c r="M78" s="7"/>
      <c r="O78" s="7"/>
      <c r="Q78" s="7"/>
      <c r="S78" s="7"/>
      <c r="U78" s="7"/>
      <c r="W78" s="7"/>
    </row>
    <row r="79">
      <c r="A79" s="2"/>
      <c r="B79" s="35" t="s">
        <v>164</v>
      </c>
      <c r="C79" s="27"/>
      <c r="D79" s="28"/>
      <c r="E79" s="59">
        <v>43776.0</v>
      </c>
      <c r="F79" s="3">
        <v>43.5</v>
      </c>
      <c r="G79" s="7"/>
      <c r="H79" s="35" t="s">
        <v>125</v>
      </c>
      <c r="I79" s="27"/>
      <c r="J79" s="28"/>
      <c r="K79" s="59">
        <v>43776.0</v>
      </c>
      <c r="L79" s="3">
        <v>43.5</v>
      </c>
      <c r="M79" s="7"/>
      <c r="O79" s="7"/>
      <c r="Q79" s="7"/>
      <c r="S79" s="7"/>
      <c r="U79" s="7"/>
      <c r="W79" s="7"/>
    </row>
    <row r="80">
      <c r="A80" s="50"/>
      <c r="B80" s="35"/>
      <c r="C80" s="27"/>
      <c r="D80" s="28"/>
      <c r="E80" s="59"/>
      <c r="F80" s="3"/>
      <c r="G80" s="7"/>
      <c r="H80" s="35"/>
      <c r="I80" s="27"/>
      <c r="J80" s="28"/>
      <c r="K80" s="59"/>
      <c r="L80" s="3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60"/>
      <c r="F81" s="6"/>
      <c r="G81" s="7"/>
      <c r="H81" s="53"/>
      <c r="I81" s="27"/>
      <c r="J81" s="28"/>
      <c r="K81" s="60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60"/>
      <c r="F82" s="6"/>
      <c r="G82" s="7"/>
      <c r="H82" s="53"/>
      <c r="I82" s="27"/>
      <c r="J82" s="28"/>
      <c r="K82" s="60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60"/>
      <c r="F83" s="6"/>
      <c r="G83" s="7"/>
      <c r="H83" s="53"/>
      <c r="I83" s="27"/>
      <c r="J83" s="28"/>
      <c r="K83" s="60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60"/>
      <c r="F84" s="6"/>
      <c r="G84" s="7"/>
      <c r="H84" s="53"/>
      <c r="I84" s="27"/>
      <c r="J84" s="28"/>
      <c r="K84" s="60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60"/>
      <c r="F85" s="6"/>
      <c r="G85" s="7"/>
      <c r="H85" s="53"/>
      <c r="I85" s="27"/>
      <c r="J85" s="28"/>
      <c r="K85" s="60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7"/>
      <c r="D86" s="28"/>
      <c r="E86" s="60"/>
      <c r="F86" s="6">
        <f>SUM(F79:F85)</f>
        <v>43.5</v>
      </c>
      <c r="G86" s="7"/>
      <c r="H86" s="35" t="s">
        <v>17</v>
      </c>
      <c r="I86" s="27"/>
      <c r="J86" s="28"/>
      <c r="K86" s="60"/>
      <c r="L86" s="6">
        <f>SUM(L79:L85)</f>
        <v>43.5</v>
      </c>
      <c r="M86" s="7"/>
      <c r="O86" s="7"/>
      <c r="Q86" s="7"/>
      <c r="S86" s="7"/>
      <c r="U86" s="7"/>
      <c r="W86" s="7"/>
    </row>
    <row r="87">
      <c r="E87" s="62"/>
      <c r="F87" s="7"/>
      <c r="G87" s="7"/>
      <c r="I87" s="7"/>
      <c r="K87" s="62"/>
      <c r="L87" s="7"/>
      <c r="M87" s="7"/>
      <c r="O87" s="7"/>
      <c r="Q87" s="7"/>
      <c r="S87" s="7"/>
      <c r="U87" s="7"/>
      <c r="W87" s="7"/>
    </row>
    <row r="88">
      <c r="A88" s="25"/>
      <c r="B88" s="26" t="s">
        <v>22</v>
      </c>
      <c r="C88" s="27"/>
      <c r="D88" s="27"/>
      <c r="E88" s="27"/>
      <c r="F88" s="28"/>
      <c r="G88" s="7"/>
      <c r="H88" s="26" t="s">
        <v>248</v>
      </c>
      <c r="I88" s="27"/>
      <c r="J88" s="27"/>
      <c r="K88" s="27"/>
      <c r="L88" s="28"/>
      <c r="M88" s="7"/>
      <c r="O88" s="7"/>
      <c r="Q88" s="7"/>
      <c r="S88" s="7"/>
      <c r="U88" s="7"/>
      <c r="W88" s="7"/>
    </row>
    <row r="89">
      <c r="A89" s="25"/>
      <c r="B89" s="26" t="s">
        <v>33</v>
      </c>
      <c r="C89" s="27"/>
      <c r="D89" s="28"/>
      <c r="E89" s="34" t="s">
        <v>34</v>
      </c>
      <c r="F89" s="31" t="s">
        <v>35</v>
      </c>
      <c r="G89" s="7"/>
      <c r="H89" s="26" t="s">
        <v>33</v>
      </c>
      <c r="I89" s="27"/>
      <c r="J89" s="28"/>
      <c r="K89" s="34" t="s">
        <v>34</v>
      </c>
      <c r="L89" s="31" t="s">
        <v>35</v>
      </c>
      <c r="M89" s="7"/>
      <c r="O89" s="7"/>
      <c r="Q89" s="7"/>
      <c r="S89" s="7"/>
      <c r="U89" s="7"/>
      <c r="W89" s="7"/>
    </row>
    <row r="90">
      <c r="A90" s="2"/>
      <c r="B90" s="35"/>
      <c r="C90" s="27"/>
      <c r="D90" s="28"/>
      <c r="E90" s="59"/>
      <c r="F90" s="3"/>
      <c r="G90" s="7"/>
      <c r="H90" s="35"/>
      <c r="I90" s="27"/>
      <c r="J90" s="28"/>
      <c r="K90" s="59"/>
      <c r="L90" s="3"/>
      <c r="M90" s="7"/>
      <c r="O90" s="7"/>
      <c r="Q90" s="7"/>
      <c r="S90" s="7"/>
      <c r="U90" s="7"/>
      <c r="W90" s="7"/>
    </row>
    <row r="91">
      <c r="A91" s="50"/>
      <c r="B91" s="53"/>
      <c r="C91" s="27"/>
      <c r="D91" s="28"/>
      <c r="E91" s="60"/>
      <c r="F91" s="6"/>
      <c r="G91" s="7"/>
      <c r="H91" s="35"/>
      <c r="I91" s="27"/>
      <c r="J91" s="28"/>
      <c r="K91" s="59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60"/>
      <c r="F92" s="6"/>
      <c r="G92" s="7"/>
      <c r="H92" s="35"/>
      <c r="I92" s="27"/>
      <c r="J92" s="28"/>
      <c r="K92" s="59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60"/>
      <c r="F93" s="6"/>
      <c r="G93" s="7"/>
      <c r="H93" s="35"/>
      <c r="I93" s="27"/>
      <c r="J93" s="28"/>
      <c r="K93" s="59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60"/>
      <c r="F94" s="6"/>
      <c r="G94" s="7"/>
      <c r="H94" s="35"/>
      <c r="I94" s="27"/>
      <c r="J94" s="28"/>
      <c r="K94" s="59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60"/>
      <c r="F95" s="6"/>
      <c r="G95" s="7"/>
      <c r="H95" s="35"/>
      <c r="I95" s="27"/>
      <c r="J95" s="28"/>
      <c r="K95" s="59"/>
      <c r="L95" s="3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60"/>
      <c r="F96" s="6"/>
      <c r="G96" s="7"/>
      <c r="H96" s="35"/>
      <c r="I96" s="27"/>
      <c r="J96" s="28"/>
      <c r="K96" s="58"/>
      <c r="L96" s="3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60"/>
      <c r="F97" s="6"/>
      <c r="G97" s="7"/>
      <c r="H97" s="35"/>
      <c r="I97" s="27"/>
      <c r="J97" s="28"/>
      <c r="K97" s="59"/>
      <c r="L97" s="3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60"/>
      <c r="F98" s="6"/>
      <c r="G98" s="7"/>
      <c r="H98" s="35"/>
      <c r="I98" s="27"/>
      <c r="J98" s="28"/>
      <c r="K98" s="59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60"/>
      <c r="F99" s="6"/>
      <c r="G99" s="7"/>
      <c r="H99" s="35"/>
      <c r="I99" s="27"/>
      <c r="J99" s="28"/>
      <c r="K99" s="58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60"/>
      <c r="F100" s="6"/>
      <c r="G100" s="7"/>
      <c r="H100" s="35"/>
      <c r="I100" s="27"/>
      <c r="J100" s="28"/>
      <c r="K100" s="58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60"/>
      <c r="F101" s="6"/>
      <c r="G101" s="7"/>
      <c r="H101" s="35"/>
      <c r="I101" s="27"/>
      <c r="J101" s="28"/>
      <c r="K101" s="58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60"/>
      <c r="F102" s="6"/>
      <c r="G102" s="7"/>
      <c r="H102" s="35"/>
      <c r="I102" s="27"/>
      <c r="J102" s="28"/>
      <c r="K102" s="58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60"/>
      <c r="F103" s="6"/>
      <c r="G103" s="7"/>
      <c r="H103" s="35"/>
      <c r="I103" s="27"/>
      <c r="J103" s="28"/>
      <c r="K103" s="58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60"/>
      <c r="F104" s="6"/>
      <c r="G104" s="7"/>
      <c r="H104" s="35"/>
      <c r="I104" s="27"/>
      <c r="J104" s="28"/>
      <c r="K104" s="59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60"/>
      <c r="F105" s="6"/>
      <c r="G105" s="7"/>
      <c r="H105" s="35"/>
      <c r="I105" s="27"/>
      <c r="J105" s="28"/>
      <c r="K105" s="59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60"/>
      <c r="F106" s="6"/>
      <c r="G106" s="7"/>
      <c r="H106" s="35"/>
      <c r="I106" s="27"/>
      <c r="J106" s="28"/>
      <c r="K106" s="59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60"/>
      <c r="F107" s="6"/>
      <c r="G107" s="7"/>
      <c r="H107" s="35"/>
      <c r="I107" s="27"/>
      <c r="J107" s="28"/>
      <c r="K107" s="59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60"/>
      <c r="F108" s="6"/>
      <c r="G108" s="7"/>
      <c r="H108" s="35"/>
      <c r="I108" s="27"/>
      <c r="J108" s="28"/>
      <c r="K108" s="59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60"/>
      <c r="F109" s="6"/>
      <c r="G109" s="7"/>
      <c r="H109" s="35"/>
      <c r="I109" s="27"/>
      <c r="J109" s="28"/>
      <c r="K109" s="59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60"/>
      <c r="F110" s="6"/>
      <c r="G110" s="7"/>
      <c r="H110" s="35"/>
      <c r="I110" s="27"/>
      <c r="J110" s="28"/>
      <c r="K110" s="59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60"/>
      <c r="F111" s="6"/>
      <c r="G111" s="7"/>
      <c r="H111" s="35"/>
      <c r="I111" s="27"/>
      <c r="J111" s="28"/>
      <c r="K111" s="59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60"/>
      <c r="F112" s="6"/>
      <c r="G112" s="7"/>
      <c r="H112" s="35"/>
      <c r="I112" s="27"/>
      <c r="J112" s="28"/>
      <c r="K112" s="59"/>
      <c r="L112" s="3"/>
      <c r="M112" s="7"/>
      <c r="N112" s="5">
        <f>80-L119</f>
        <v>80</v>
      </c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60"/>
      <c r="F113" s="6"/>
      <c r="G113" s="7"/>
      <c r="H113" s="35"/>
      <c r="I113" s="27"/>
      <c r="J113" s="28"/>
      <c r="K113" s="59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60"/>
      <c r="F114" s="6"/>
      <c r="G114" s="7"/>
      <c r="H114" s="35"/>
      <c r="I114" s="27"/>
      <c r="J114" s="28"/>
      <c r="K114" s="59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60"/>
      <c r="F115" s="6"/>
      <c r="G115" s="7"/>
      <c r="H115" s="35"/>
      <c r="I115" s="27"/>
      <c r="J115" s="28"/>
      <c r="K115" s="59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60"/>
      <c r="F116" s="6"/>
      <c r="G116" s="7"/>
      <c r="H116" s="35"/>
      <c r="I116" s="27"/>
      <c r="J116" s="28"/>
      <c r="K116" s="59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60"/>
      <c r="F117" s="6"/>
      <c r="G117" s="7"/>
      <c r="H117" s="35"/>
      <c r="I117" s="27"/>
      <c r="J117" s="28"/>
      <c r="K117" s="59"/>
      <c r="L117" s="3"/>
      <c r="M117" s="7"/>
      <c r="O117" s="7"/>
      <c r="Q117" s="7"/>
      <c r="S117" s="7"/>
      <c r="U117" s="7"/>
      <c r="W117" s="7"/>
    </row>
    <row r="118">
      <c r="A118" s="50"/>
      <c r="B118" s="53"/>
      <c r="C118" s="27"/>
      <c r="D118" s="28"/>
      <c r="E118" s="60"/>
      <c r="F118" s="6"/>
      <c r="G118" s="7"/>
      <c r="H118" s="35"/>
      <c r="I118" s="27"/>
      <c r="J118" s="28"/>
      <c r="K118" s="59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7"/>
      <c r="D119" s="28"/>
      <c r="E119" s="60"/>
      <c r="F119" s="6">
        <f>SUM(F90:F96)</f>
        <v>0</v>
      </c>
      <c r="G119" s="7"/>
      <c r="H119" s="35" t="s">
        <v>17</v>
      </c>
      <c r="I119" s="27"/>
      <c r="J119" s="28"/>
      <c r="K119" s="60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E120" s="62"/>
      <c r="F120" s="7"/>
      <c r="G120" s="7"/>
      <c r="I120" s="7"/>
      <c r="K120" s="62"/>
      <c r="L120" s="7"/>
      <c r="M120" s="7"/>
      <c r="O120" s="7"/>
      <c r="Q120" s="7"/>
      <c r="S120" s="7"/>
      <c r="U120" s="7"/>
      <c r="W120" s="7"/>
    </row>
    <row r="121">
      <c r="B121" s="26" t="s">
        <v>28</v>
      </c>
      <c r="C121" s="27"/>
      <c r="D121" s="27"/>
      <c r="E121" s="27"/>
      <c r="F121" s="28"/>
      <c r="G121" s="7"/>
      <c r="I121" s="7"/>
      <c r="K121" s="62"/>
      <c r="L121" s="7"/>
      <c r="M121" s="7"/>
      <c r="O121" s="7"/>
      <c r="Q121" s="7"/>
      <c r="S121" s="7"/>
      <c r="U121" s="7"/>
      <c r="W121" s="7"/>
    </row>
    <row r="122">
      <c r="B122" s="26" t="s">
        <v>33</v>
      </c>
      <c r="C122" s="27"/>
      <c r="D122" s="28"/>
      <c r="E122" s="34" t="s">
        <v>34</v>
      </c>
      <c r="F122" s="31" t="s">
        <v>35</v>
      </c>
      <c r="G122" s="7"/>
      <c r="I122" s="7"/>
      <c r="K122" s="62"/>
      <c r="L122" s="7"/>
      <c r="M122" s="7"/>
      <c r="O122" s="7"/>
      <c r="Q122" s="7"/>
      <c r="S122" s="7"/>
      <c r="U122" s="7"/>
      <c r="W122" s="7"/>
    </row>
    <row r="123">
      <c r="B123" s="26" t="s">
        <v>86</v>
      </c>
      <c r="C123" s="27"/>
      <c r="D123" s="28"/>
      <c r="E123" s="34">
        <v>43779.0</v>
      </c>
      <c r="F123" s="31">
        <v>37.63</v>
      </c>
      <c r="G123" s="7"/>
      <c r="I123" s="7"/>
      <c r="K123" s="62"/>
      <c r="L123" s="7"/>
      <c r="M123" s="7"/>
      <c r="O123" s="7"/>
      <c r="Q123" s="7"/>
      <c r="S123" s="7"/>
      <c r="U123" s="7"/>
      <c r="W123" s="7"/>
    </row>
    <row r="124">
      <c r="B124" s="26" t="s">
        <v>86</v>
      </c>
      <c r="C124" s="27"/>
      <c r="D124" s="28"/>
      <c r="E124" s="34">
        <v>43780.0</v>
      </c>
      <c r="F124" s="31">
        <v>20.0</v>
      </c>
      <c r="G124" s="7"/>
      <c r="I124" s="7"/>
      <c r="K124" s="62"/>
      <c r="L124" s="7"/>
      <c r="M124" s="7"/>
      <c r="O124" s="7"/>
      <c r="Q124" s="7"/>
      <c r="S124" s="7"/>
      <c r="U124" s="7"/>
      <c r="W124" s="7"/>
    </row>
    <row r="125">
      <c r="B125" s="26" t="s">
        <v>414</v>
      </c>
      <c r="C125" s="27"/>
      <c r="D125" s="28"/>
      <c r="E125" s="34">
        <v>43784.0</v>
      </c>
      <c r="F125" s="31">
        <v>30.0</v>
      </c>
      <c r="G125" s="7"/>
      <c r="I125" s="7"/>
      <c r="K125" s="62"/>
      <c r="L125" s="7"/>
      <c r="M125" s="7"/>
      <c r="O125" s="7"/>
      <c r="Q125" s="7"/>
      <c r="S125" s="7"/>
      <c r="U125" s="7"/>
      <c r="W125" s="7"/>
    </row>
    <row r="126">
      <c r="B126" s="26" t="s">
        <v>128</v>
      </c>
      <c r="C126" s="27"/>
      <c r="D126" s="28"/>
      <c r="E126" s="34">
        <v>43789.0</v>
      </c>
      <c r="F126" s="31">
        <v>22.0</v>
      </c>
      <c r="G126" s="7"/>
      <c r="I126" s="7"/>
      <c r="K126" s="62"/>
      <c r="L126" s="7"/>
      <c r="M126" s="7"/>
      <c r="O126" s="7"/>
      <c r="Q126" s="7"/>
      <c r="S126" s="7"/>
      <c r="U126" s="7"/>
      <c r="W126" s="7"/>
    </row>
    <row r="127">
      <c r="B127" s="26" t="s">
        <v>415</v>
      </c>
      <c r="C127" s="27"/>
      <c r="D127" s="28"/>
      <c r="E127" s="34">
        <v>43789.0</v>
      </c>
      <c r="F127" s="31">
        <v>10.0</v>
      </c>
      <c r="G127" s="7"/>
      <c r="I127" s="7"/>
      <c r="K127" s="62"/>
      <c r="L127" s="7"/>
      <c r="M127" s="7"/>
      <c r="O127" s="7"/>
      <c r="Q127" s="7"/>
      <c r="S127" s="7"/>
      <c r="U127" s="7"/>
      <c r="W127" s="7"/>
    </row>
    <row r="128">
      <c r="B128" s="26" t="s">
        <v>86</v>
      </c>
      <c r="C128" s="27"/>
      <c r="D128" s="28"/>
      <c r="E128" s="66">
        <v>43798.0</v>
      </c>
      <c r="F128" s="31">
        <v>5.0</v>
      </c>
      <c r="G128" s="7"/>
      <c r="I128" s="7"/>
      <c r="K128" s="62"/>
      <c r="L128" s="7"/>
      <c r="M128" s="7"/>
      <c r="O128" s="7"/>
      <c r="Q128" s="7"/>
      <c r="S128" s="7"/>
      <c r="U128" s="7"/>
      <c r="W128" s="7"/>
    </row>
    <row r="129">
      <c r="B129" s="26" t="s">
        <v>86</v>
      </c>
      <c r="C129" s="27"/>
      <c r="D129" s="28"/>
      <c r="E129" s="66">
        <v>43799.0</v>
      </c>
      <c r="F129" s="31">
        <v>35.0</v>
      </c>
      <c r="G129" s="7"/>
      <c r="I129" s="7"/>
      <c r="K129" s="62"/>
      <c r="L129" s="7"/>
      <c r="M129" s="7"/>
      <c r="O129" s="7"/>
      <c r="Q129" s="7"/>
      <c r="S129" s="7"/>
      <c r="U129" s="7"/>
      <c r="W129" s="7"/>
    </row>
    <row r="130">
      <c r="B130" s="26"/>
      <c r="C130" s="27"/>
      <c r="D130" s="28"/>
      <c r="E130" s="34"/>
      <c r="F130" s="31"/>
      <c r="G130" s="7"/>
      <c r="I130" s="7"/>
      <c r="K130" s="62"/>
      <c r="L130" s="7"/>
      <c r="M130" s="7"/>
      <c r="O130" s="7"/>
      <c r="Q130" s="7"/>
      <c r="S130" s="7"/>
      <c r="U130" s="7"/>
      <c r="W130" s="7"/>
    </row>
    <row r="131">
      <c r="B131" s="26"/>
      <c r="C131" s="27"/>
      <c r="D131" s="28"/>
      <c r="E131" s="34"/>
      <c r="F131" s="31"/>
      <c r="G131" s="7"/>
      <c r="I131" s="7"/>
      <c r="K131" s="62"/>
      <c r="L131" s="7"/>
      <c r="M131" s="7"/>
      <c r="O131" s="7"/>
      <c r="Q131" s="7"/>
      <c r="S131" s="7"/>
      <c r="U131" s="7"/>
      <c r="W131" s="7"/>
    </row>
    <row r="132">
      <c r="B132" s="26"/>
      <c r="C132" s="27"/>
      <c r="D132" s="28"/>
      <c r="E132" s="34"/>
      <c r="F132" s="31"/>
      <c r="G132" s="7"/>
      <c r="I132" s="7"/>
      <c r="K132" s="62"/>
      <c r="L132" s="7"/>
      <c r="M132" s="7"/>
      <c r="O132" s="7"/>
      <c r="Q132" s="7"/>
      <c r="S132" s="7"/>
      <c r="U132" s="7"/>
      <c r="W132" s="7"/>
    </row>
    <row r="133">
      <c r="B133" s="26"/>
      <c r="C133" s="27"/>
      <c r="D133" s="28"/>
      <c r="E133" s="34"/>
      <c r="F133" s="31"/>
      <c r="G133" s="7"/>
      <c r="I133" s="7"/>
      <c r="K133" s="62"/>
      <c r="L133" s="7"/>
      <c r="M133" s="7"/>
      <c r="O133" s="7"/>
      <c r="Q133" s="7"/>
      <c r="S133" s="7"/>
      <c r="U133" s="7"/>
      <c r="W133" s="7"/>
    </row>
    <row r="134">
      <c r="B134" s="26"/>
      <c r="C134" s="27"/>
      <c r="D134" s="28"/>
      <c r="E134" s="34"/>
      <c r="F134" s="31"/>
      <c r="G134" s="7"/>
      <c r="I134" s="7"/>
      <c r="K134" s="62"/>
      <c r="L134" s="7"/>
      <c r="M134" s="7"/>
      <c r="O134" s="7"/>
      <c r="Q134" s="7"/>
      <c r="S134" s="7"/>
      <c r="U134" s="7"/>
      <c r="W134" s="7"/>
    </row>
    <row r="135">
      <c r="B135" s="26"/>
      <c r="C135" s="27"/>
      <c r="D135" s="28"/>
      <c r="E135" s="34"/>
      <c r="F135" s="31"/>
      <c r="G135" s="7"/>
      <c r="I135" s="7"/>
      <c r="K135" s="62"/>
      <c r="L135" s="7"/>
      <c r="M135" s="7"/>
      <c r="O135" s="7"/>
      <c r="Q135" s="7"/>
      <c r="S135" s="7"/>
      <c r="U135" s="7"/>
      <c r="W135" s="7"/>
    </row>
    <row r="136">
      <c r="B136" s="26"/>
      <c r="C136" s="27"/>
      <c r="D136" s="28"/>
      <c r="E136" s="34"/>
      <c r="F136" s="31"/>
      <c r="G136" s="7"/>
      <c r="I136" s="7"/>
      <c r="K136" s="62"/>
      <c r="L136" s="7"/>
      <c r="M136" s="7"/>
      <c r="O136" s="7"/>
      <c r="Q136" s="7"/>
      <c r="S136" s="7"/>
      <c r="U136" s="7"/>
      <c r="W136" s="7"/>
    </row>
    <row r="137">
      <c r="B137" s="26"/>
      <c r="C137" s="27"/>
      <c r="D137" s="28"/>
      <c r="E137" s="34"/>
      <c r="F137" s="31"/>
      <c r="G137" s="7"/>
      <c r="I137" s="7"/>
      <c r="K137" s="62"/>
      <c r="L137" s="7"/>
      <c r="M137" s="7"/>
      <c r="O137" s="7"/>
      <c r="Q137" s="7"/>
      <c r="S137" s="7"/>
      <c r="U137" s="7"/>
      <c r="W137" s="7"/>
    </row>
    <row r="138">
      <c r="B138" s="26"/>
      <c r="C138" s="27"/>
      <c r="D138" s="28"/>
      <c r="E138" s="34"/>
      <c r="F138" s="31"/>
      <c r="G138" s="7"/>
      <c r="I138" s="7"/>
      <c r="K138" s="62"/>
      <c r="L138" s="7"/>
      <c r="M138" s="7"/>
      <c r="O138" s="7"/>
      <c r="Q138" s="7"/>
      <c r="S138" s="7"/>
      <c r="U138" s="7"/>
      <c r="W138" s="7"/>
    </row>
    <row r="139">
      <c r="B139" s="43" t="s">
        <v>17</v>
      </c>
      <c r="C139" s="27"/>
      <c r="D139" s="27"/>
      <c r="E139" s="28"/>
      <c r="F139" s="31">
        <f>SUM(F123:F138)</f>
        <v>159.63</v>
      </c>
      <c r="G139" s="7"/>
      <c r="I139" s="7"/>
      <c r="K139" s="62"/>
      <c r="L139" s="7"/>
      <c r="M139" s="7"/>
      <c r="O139" s="7"/>
      <c r="Q139" s="7"/>
      <c r="S139" s="7"/>
      <c r="U139" s="7"/>
      <c r="W139" s="7"/>
    </row>
    <row r="140">
      <c r="E140" s="62"/>
      <c r="F140" s="7"/>
      <c r="G140" s="7"/>
      <c r="I140" s="7"/>
      <c r="K140" s="62"/>
      <c r="L140" s="7"/>
      <c r="M140" s="7"/>
      <c r="O140" s="7"/>
      <c r="Q140" s="7"/>
      <c r="S140" s="7"/>
      <c r="U140" s="7"/>
      <c r="W140" s="7"/>
    </row>
    <row r="141">
      <c r="E141" s="62"/>
      <c r="F141" s="7"/>
      <c r="G141" s="7"/>
      <c r="I141" s="7"/>
      <c r="K141" s="62"/>
      <c r="L141" s="7"/>
      <c r="M141" s="7"/>
      <c r="O141" s="7"/>
      <c r="Q141" s="7"/>
      <c r="S141" s="7"/>
      <c r="U141" s="7"/>
      <c r="W141" s="7"/>
    </row>
    <row r="142">
      <c r="E142" s="62"/>
      <c r="F142" s="7"/>
      <c r="G142" s="7"/>
      <c r="I142" s="7"/>
      <c r="K142" s="62"/>
      <c r="L142" s="7"/>
      <c r="M142" s="7"/>
      <c r="O142" s="7"/>
      <c r="Q142" s="7"/>
      <c r="S142" s="7"/>
      <c r="U142" s="7"/>
      <c r="W142" s="7"/>
    </row>
    <row r="143">
      <c r="E143" s="62"/>
      <c r="F143" s="7"/>
      <c r="G143" s="7"/>
      <c r="I143" s="7"/>
      <c r="K143" s="62"/>
      <c r="L143" s="7"/>
      <c r="M143" s="7"/>
      <c r="O143" s="7"/>
      <c r="Q143" s="7"/>
      <c r="S143" s="7"/>
      <c r="U143" s="7"/>
      <c r="W143" s="7"/>
    </row>
    <row r="144">
      <c r="E144" s="62"/>
      <c r="F144" s="7"/>
      <c r="G144" s="7"/>
      <c r="I144" s="7"/>
      <c r="K144" s="62"/>
      <c r="L144" s="7"/>
      <c r="M144" s="7"/>
      <c r="O144" s="7"/>
      <c r="Q144" s="7"/>
      <c r="S144" s="7"/>
      <c r="U144" s="7"/>
      <c r="W144" s="7"/>
    </row>
    <row r="145">
      <c r="E145" s="62"/>
      <c r="F145" s="7"/>
      <c r="G145" s="7"/>
      <c r="I145" s="7"/>
      <c r="K145" s="62"/>
      <c r="L145" s="7"/>
      <c r="M145" s="7"/>
      <c r="O145" s="7"/>
      <c r="Q145" s="7"/>
      <c r="S145" s="7"/>
      <c r="U145" s="7"/>
      <c r="W145" s="7"/>
    </row>
    <row r="146">
      <c r="E146" s="62"/>
      <c r="F146" s="7"/>
      <c r="G146" s="7"/>
      <c r="I146" s="7"/>
      <c r="K146" s="62"/>
      <c r="L146" s="7"/>
      <c r="M146" s="7"/>
      <c r="O146" s="7"/>
      <c r="Q146" s="7"/>
      <c r="S146" s="7"/>
      <c r="U146" s="7"/>
      <c r="W146" s="7"/>
    </row>
    <row r="147">
      <c r="E147" s="62"/>
      <c r="F147" s="7"/>
      <c r="G147" s="7"/>
      <c r="I147" s="7"/>
      <c r="K147" s="62"/>
      <c r="L147" s="7"/>
      <c r="M147" s="7"/>
      <c r="O147" s="7"/>
      <c r="Q147" s="7"/>
      <c r="S147" s="7"/>
      <c r="U147" s="7"/>
      <c r="W147" s="7"/>
    </row>
    <row r="148">
      <c r="E148" s="62"/>
      <c r="F148" s="7"/>
      <c r="G148" s="7"/>
      <c r="I148" s="7"/>
      <c r="K148" s="62"/>
      <c r="L148" s="7"/>
      <c r="M148" s="7"/>
      <c r="O148" s="7"/>
      <c r="Q148" s="7"/>
      <c r="S148" s="7"/>
      <c r="U148" s="7"/>
      <c r="W148" s="7"/>
    </row>
    <row r="149">
      <c r="E149" s="62"/>
      <c r="F149" s="7"/>
      <c r="G149" s="7"/>
      <c r="I149" s="7"/>
      <c r="K149" s="62"/>
      <c r="L149" s="7"/>
      <c r="M149" s="7"/>
      <c r="O149" s="7"/>
      <c r="Q149" s="7"/>
      <c r="S149" s="7"/>
      <c r="U149" s="7"/>
      <c r="W149" s="7"/>
    </row>
    <row r="150">
      <c r="E150" s="62"/>
      <c r="F150" s="7"/>
      <c r="G150" s="7"/>
      <c r="I150" s="7"/>
      <c r="K150" s="62"/>
      <c r="L150" s="7"/>
      <c r="M150" s="7"/>
      <c r="O150" s="7"/>
      <c r="Q150" s="7"/>
      <c r="S150" s="7"/>
      <c r="U150" s="7"/>
      <c r="W150" s="7"/>
    </row>
    <row r="151">
      <c r="E151" s="62"/>
      <c r="F151" s="7"/>
      <c r="G151" s="7"/>
      <c r="I151" s="7"/>
      <c r="K151" s="62"/>
      <c r="L151" s="7"/>
      <c r="M151" s="7"/>
      <c r="O151" s="7"/>
      <c r="Q151" s="7"/>
      <c r="S151" s="7"/>
      <c r="U151" s="7"/>
      <c r="W151" s="7"/>
    </row>
    <row r="152">
      <c r="E152" s="62"/>
      <c r="F152" s="7"/>
      <c r="G152" s="7"/>
      <c r="I152" s="7"/>
      <c r="K152" s="62"/>
      <c r="L152" s="7"/>
      <c r="M152" s="7"/>
      <c r="O152" s="7"/>
      <c r="Q152" s="7"/>
      <c r="S152" s="7"/>
      <c r="U152" s="7"/>
      <c r="W152" s="7"/>
    </row>
    <row r="153">
      <c r="E153" s="62"/>
      <c r="F153" s="7"/>
      <c r="G153" s="7"/>
      <c r="I153" s="7"/>
      <c r="K153" s="62"/>
      <c r="L153" s="7"/>
      <c r="M153" s="7"/>
      <c r="O153" s="7"/>
      <c r="Q153" s="7"/>
      <c r="S153" s="7"/>
      <c r="U153" s="7"/>
      <c r="W153" s="7"/>
    </row>
    <row r="154">
      <c r="E154" s="62"/>
      <c r="F154" s="7"/>
      <c r="G154" s="7"/>
      <c r="I154" s="7"/>
      <c r="K154" s="62"/>
      <c r="L154" s="7"/>
      <c r="M154" s="7"/>
      <c r="O154" s="7"/>
      <c r="Q154" s="7"/>
      <c r="S154" s="7"/>
      <c r="U154" s="7"/>
      <c r="W154" s="7"/>
    </row>
    <row r="155">
      <c r="E155" s="62"/>
      <c r="F155" s="7"/>
      <c r="G155" s="7"/>
      <c r="I155" s="7"/>
      <c r="K155" s="62"/>
      <c r="L155" s="7"/>
      <c r="M155" s="7"/>
      <c r="O155" s="7"/>
      <c r="Q155" s="7"/>
      <c r="S155" s="7"/>
      <c r="U155" s="7"/>
      <c r="W155" s="7"/>
    </row>
    <row r="156">
      <c r="E156" s="62"/>
      <c r="F156" s="7"/>
      <c r="G156" s="7"/>
      <c r="I156" s="7"/>
      <c r="K156" s="62"/>
      <c r="L156" s="7"/>
      <c r="M156" s="7"/>
      <c r="O156" s="7"/>
      <c r="Q156" s="7"/>
      <c r="S156" s="7"/>
      <c r="U156" s="7"/>
      <c r="W156" s="7"/>
    </row>
    <row r="157">
      <c r="E157" s="62"/>
      <c r="F157" s="7"/>
      <c r="G157" s="7"/>
      <c r="I157" s="7"/>
      <c r="K157" s="62"/>
      <c r="L157" s="7"/>
      <c r="M157" s="7"/>
      <c r="O157" s="7"/>
      <c r="Q157" s="7"/>
      <c r="S157" s="7"/>
      <c r="U157" s="7"/>
      <c r="W157" s="7"/>
    </row>
    <row r="158">
      <c r="E158" s="62"/>
      <c r="F158" s="7"/>
      <c r="G158" s="7"/>
      <c r="I158" s="7"/>
      <c r="K158" s="62"/>
      <c r="L158" s="7"/>
      <c r="M158" s="7"/>
      <c r="O158" s="7"/>
      <c r="Q158" s="7"/>
      <c r="S158" s="7"/>
      <c r="U158" s="7"/>
      <c r="W158" s="7"/>
    </row>
    <row r="159">
      <c r="E159" s="62"/>
      <c r="F159" s="7"/>
      <c r="G159" s="7"/>
      <c r="I159" s="7"/>
      <c r="K159" s="62"/>
      <c r="L159" s="7"/>
      <c r="M159" s="7"/>
      <c r="O159" s="7"/>
      <c r="Q159" s="7"/>
      <c r="S159" s="7"/>
      <c r="U159" s="7"/>
      <c r="W159" s="7"/>
    </row>
    <row r="160">
      <c r="E160" s="62"/>
      <c r="F160" s="7"/>
      <c r="G160" s="7"/>
      <c r="I160" s="7"/>
      <c r="K160" s="62"/>
      <c r="L160" s="7"/>
      <c r="M160" s="7"/>
      <c r="O160" s="7"/>
      <c r="Q160" s="7"/>
      <c r="S160" s="7"/>
      <c r="U160" s="7"/>
      <c r="W160" s="7"/>
    </row>
    <row r="161">
      <c r="E161" s="62"/>
      <c r="F161" s="7"/>
      <c r="G161" s="7"/>
      <c r="I161" s="7"/>
      <c r="K161" s="62"/>
      <c r="L161" s="7"/>
      <c r="M161" s="7"/>
      <c r="O161" s="7"/>
      <c r="Q161" s="7"/>
      <c r="S161" s="7"/>
      <c r="U161" s="7"/>
      <c r="W161" s="7"/>
    </row>
    <row r="162">
      <c r="E162" s="62"/>
      <c r="F162" s="7"/>
      <c r="G162" s="7"/>
      <c r="I162" s="7"/>
      <c r="K162" s="62"/>
      <c r="L162" s="7"/>
      <c r="M162" s="7"/>
      <c r="O162" s="7"/>
      <c r="Q162" s="7"/>
      <c r="S162" s="7"/>
      <c r="U162" s="7"/>
      <c r="W162" s="7"/>
    </row>
    <row r="163">
      <c r="E163" s="62"/>
      <c r="F163" s="7"/>
      <c r="G163" s="7"/>
      <c r="I163" s="7"/>
      <c r="K163" s="62"/>
      <c r="L163" s="7"/>
      <c r="M163" s="7"/>
      <c r="O163" s="7"/>
      <c r="Q163" s="7"/>
      <c r="S163" s="7"/>
      <c r="U163" s="7"/>
      <c r="W163" s="7"/>
    </row>
    <row r="164">
      <c r="E164" s="62"/>
      <c r="F164" s="7"/>
      <c r="G164" s="7"/>
      <c r="I164" s="7"/>
      <c r="K164" s="62"/>
      <c r="L164" s="7"/>
      <c r="M164" s="7"/>
      <c r="O164" s="7"/>
      <c r="Q164" s="7"/>
      <c r="S164" s="7"/>
      <c r="U164" s="7"/>
      <c r="W164" s="7"/>
    </row>
    <row r="165">
      <c r="E165" s="62"/>
      <c r="F165" s="7"/>
      <c r="G165" s="7"/>
      <c r="I165" s="7"/>
      <c r="K165" s="62"/>
      <c r="L165" s="7"/>
      <c r="M165" s="7"/>
      <c r="O165" s="7"/>
      <c r="Q165" s="7"/>
      <c r="S165" s="7"/>
      <c r="U165" s="7"/>
      <c r="W165" s="7"/>
    </row>
    <row r="166">
      <c r="E166" s="62"/>
      <c r="F166" s="7"/>
      <c r="G166" s="7"/>
      <c r="I166" s="7"/>
      <c r="K166" s="62"/>
      <c r="L166" s="7"/>
      <c r="M166" s="7"/>
      <c r="O166" s="7"/>
      <c r="Q166" s="7"/>
      <c r="S166" s="7"/>
      <c r="U166" s="7"/>
      <c r="W166" s="7"/>
    </row>
    <row r="167">
      <c r="E167" s="62"/>
      <c r="F167" s="7"/>
      <c r="G167" s="7"/>
      <c r="I167" s="7"/>
      <c r="K167" s="62"/>
      <c r="L167" s="7"/>
      <c r="M167" s="7"/>
      <c r="O167" s="7"/>
      <c r="Q167" s="7"/>
      <c r="S167" s="7"/>
      <c r="U167" s="7"/>
      <c r="W167" s="7"/>
    </row>
    <row r="168">
      <c r="E168" s="62"/>
      <c r="F168" s="7"/>
      <c r="G168" s="7"/>
      <c r="I168" s="7"/>
      <c r="K168" s="62"/>
      <c r="L168" s="7"/>
      <c r="M168" s="7"/>
      <c r="O168" s="7"/>
      <c r="Q168" s="7"/>
      <c r="S168" s="7"/>
      <c r="U168" s="7"/>
      <c r="W168" s="7"/>
    </row>
    <row r="169">
      <c r="E169" s="62"/>
      <c r="F169" s="7"/>
      <c r="G169" s="7"/>
      <c r="I169" s="7"/>
      <c r="K169" s="62"/>
      <c r="L169" s="7"/>
      <c r="M169" s="7"/>
      <c r="O169" s="7"/>
      <c r="Q169" s="7"/>
      <c r="S169" s="7"/>
      <c r="U169" s="7"/>
      <c r="W169" s="7"/>
    </row>
    <row r="170">
      <c r="E170" s="62"/>
      <c r="F170" s="7"/>
      <c r="G170" s="7"/>
      <c r="I170" s="7"/>
      <c r="K170" s="62"/>
      <c r="L170" s="7"/>
      <c r="M170" s="7"/>
      <c r="O170" s="7"/>
      <c r="Q170" s="7"/>
      <c r="S170" s="7"/>
      <c r="U170" s="7"/>
      <c r="W170" s="7"/>
    </row>
    <row r="171">
      <c r="E171" s="62"/>
      <c r="F171" s="7"/>
      <c r="G171" s="7"/>
      <c r="I171" s="7"/>
      <c r="K171" s="62"/>
      <c r="L171" s="7"/>
      <c r="M171" s="7"/>
      <c r="O171" s="7"/>
      <c r="Q171" s="7"/>
      <c r="S171" s="7"/>
      <c r="U171" s="7"/>
      <c r="W171" s="7"/>
    </row>
    <row r="172">
      <c r="E172" s="62"/>
      <c r="F172" s="7"/>
      <c r="G172" s="7"/>
      <c r="I172" s="7"/>
      <c r="K172" s="62"/>
      <c r="L172" s="7"/>
      <c r="M172" s="7"/>
      <c r="O172" s="7"/>
      <c r="Q172" s="7"/>
      <c r="S172" s="7"/>
      <c r="U172" s="7"/>
      <c r="W172" s="7"/>
    </row>
    <row r="173">
      <c r="E173" s="62"/>
      <c r="F173" s="7"/>
      <c r="G173" s="7"/>
      <c r="I173" s="7"/>
      <c r="K173" s="62"/>
      <c r="L173" s="7"/>
      <c r="M173" s="7"/>
      <c r="O173" s="7"/>
      <c r="Q173" s="7"/>
      <c r="S173" s="7"/>
      <c r="U173" s="7"/>
      <c r="W173" s="7"/>
    </row>
    <row r="174">
      <c r="E174" s="62"/>
      <c r="F174" s="7"/>
      <c r="G174" s="7"/>
      <c r="I174" s="7"/>
      <c r="K174" s="62"/>
      <c r="L174" s="7"/>
      <c r="M174" s="7"/>
      <c r="O174" s="7"/>
      <c r="Q174" s="7"/>
      <c r="S174" s="7"/>
      <c r="U174" s="7"/>
      <c r="W174" s="7"/>
    </row>
    <row r="175">
      <c r="E175" s="62"/>
      <c r="F175" s="7"/>
      <c r="G175" s="7"/>
      <c r="I175" s="7"/>
      <c r="K175" s="62"/>
      <c r="L175" s="7"/>
      <c r="M175" s="7"/>
      <c r="O175" s="7"/>
      <c r="Q175" s="7"/>
      <c r="S175" s="7"/>
      <c r="U175" s="7"/>
      <c r="W175" s="7"/>
    </row>
    <row r="176">
      <c r="E176" s="62"/>
      <c r="F176" s="7"/>
      <c r="G176" s="7"/>
      <c r="I176" s="7"/>
      <c r="K176" s="62"/>
      <c r="L176" s="7"/>
      <c r="M176" s="7"/>
      <c r="O176" s="7"/>
      <c r="Q176" s="7"/>
      <c r="S176" s="7"/>
      <c r="U176" s="7"/>
      <c r="W176" s="7"/>
    </row>
    <row r="177">
      <c r="E177" s="62"/>
      <c r="F177" s="7"/>
      <c r="G177" s="7"/>
      <c r="I177" s="7"/>
      <c r="K177" s="62"/>
      <c r="L177" s="7"/>
      <c r="M177" s="7"/>
      <c r="O177" s="7"/>
      <c r="Q177" s="7"/>
      <c r="S177" s="7"/>
      <c r="U177" s="7"/>
      <c r="W177" s="7"/>
    </row>
    <row r="178">
      <c r="E178" s="62"/>
      <c r="F178" s="7"/>
      <c r="G178" s="7"/>
      <c r="I178" s="7"/>
      <c r="K178" s="62"/>
      <c r="L178" s="7"/>
      <c r="M178" s="7"/>
      <c r="O178" s="7"/>
      <c r="Q178" s="7"/>
      <c r="S178" s="7"/>
      <c r="U178" s="7"/>
      <c r="W178" s="7"/>
    </row>
    <row r="179">
      <c r="E179" s="62"/>
      <c r="F179" s="7"/>
      <c r="G179" s="7"/>
      <c r="I179" s="7"/>
      <c r="K179" s="62"/>
      <c r="L179" s="7"/>
      <c r="M179" s="7"/>
      <c r="O179" s="7"/>
      <c r="Q179" s="7"/>
      <c r="S179" s="7"/>
      <c r="U179" s="7"/>
      <c r="W179" s="7"/>
    </row>
    <row r="180">
      <c r="E180" s="62"/>
      <c r="F180" s="7"/>
      <c r="G180" s="7"/>
      <c r="I180" s="7"/>
      <c r="K180" s="62"/>
      <c r="L180" s="7"/>
      <c r="M180" s="7"/>
      <c r="O180" s="7"/>
      <c r="Q180" s="7"/>
      <c r="S180" s="7"/>
      <c r="U180" s="7"/>
      <c r="W180" s="7"/>
    </row>
    <row r="181">
      <c r="E181" s="62"/>
      <c r="F181" s="7"/>
      <c r="G181" s="7"/>
      <c r="I181" s="7"/>
      <c r="K181" s="62"/>
      <c r="L181" s="7"/>
      <c r="M181" s="7"/>
      <c r="O181" s="7"/>
      <c r="Q181" s="7"/>
      <c r="S181" s="7"/>
      <c r="U181" s="7"/>
      <c r="W181" s="7"/>
    </row>
    <row r="182">
      <c r="E182" s="62"/>
      <c r="F182" s="7"/>
      <c r="G182" s="7"/>
      <c r="I182" s="7"/>
      <c r="K182" s="62"/>
      <c r="L182" s="7"/>
      <c r="M182" s="7"/>
      <c r="O182" s="7"/>
      <c r="Q182" s="7"/>
      <c r="S182" s="7"/>
      <c r="U182" s="7"/>
      <c r="W182" s="7"/>
    </row>
    <row r="183">
      <c r="E183" s="62"/>
      <c r="F183" s="7"/>
      <c r="G183" s="7"/>
      <c r="I183" s="7"/>
      <c r="K183" s="62"/>
      <c r="L183" s="7"/>
      <c r="M183" s="7"/>
      <c r="O183" s="7"/>
      <c r="Q183" s="7"/>
      <c r="S183" s="7"/>
      <c r="U183" s="7"/>
      <c r="W183" s="7"/>
    </row>
    <row r="184">
      <c r="E184" s="62"/>
      <c r="F184" s="7"/>
      <c r="G184" s="7"/>
      <c r="I184" s="7"/>
      <c r="K184" s="62"/>
      <c r="L184" s="7"/>
      <c r="M184" s="7"/>
      <c r="O184" s="7"/>
      <c r="Q184" s="7"/>
      <c r="S184" s="7"/>
      <c r="U184" s="7"/>
      <c r="W184" s="7"/>
    </row>
    <row r="185">
      <c r="E185" s="62"/>
      <c r="F185" s="7"/>
      <c r="G185" s="7"/>
      <c r="I185" s="7"/>
      <c r="K185" s="62"/>
      <c r="L185" s="7"/>
      <c r="M185" s="7"/>
      <c r="O185" s="7"/>
      <c r="Q185" s="7"/>
      <c r="S185" s="7"/>
      <c r="U185" s="7"/>
      <c r="W185" s="7"/>
    </row>
    <row r="186">
      <c r="E186" s="62"/>
      <c r="F186" s="7"/>
      <c r="G186" s="7"/>
      <c r="I186" s="7"/>
      <c r="K186" s="62"/>
      <c r="L186" s="7"/>
      <c r="M186" s="7"/>
      <c r="O186" s="7"/>
      <c r="Q186" s="7"/>
      <c r="S186" s="7"/>
      <c r="U186" s="7"/>
      <c r="W186" s="7"/>
    </row>
    <row r="187">
      <c r="E187" s="62"/>
      <c r="F187" s="7"/>
      <c r="G187" s="7"/>
      <c r="I187" s="7"/>
      <c r="K187" s="62"/>
      <c r="L187" s="7"/>
      <c r="M187" s="7"/>
      <c r="O187" s="7"/>
      <c r="Q187" s="7"/>
      <c r="S187" s="7"/>
      <c r="U187" s="7"/>
      <c r="W187" s="7"/>
    </row>
    <row r="188">
      <c r="E188" s="62"/>
      <c r="F188" s="7"/>
      <c r="G188" s="7"/>
      <c r="I188" s="7"/>
      <c r="K188" s="62"/>
      <c r="L188" s="7"/>
      <c r="M188" s="7"/>
      <c r="O188" s="7"/>
      <c r="Q188" s="7"/>
      <c r="S188" s="7"/>
      <c r="U188" s="7"/>
      <c r="W188" s="7"/>
    </row>
    <row r="189">
      <c r="E189" s="62"/>
      <c r="F189" s="7"/>
      <c r="G189" s="7"/>
      <c r="I189" s="7"/>
      <c r="K189" s="62"/>
      <c r="L189" s="7"/>
      <c r="M189" s="7"/>
      <c r="O189" s="7"/>
      <c r="Q189" s="7"/>
      <c r="S189" s="7"/>
      <c r="U189" s="7"/>
      <c r="W189" s="7"/>
    </row>
    <row r="190">
      <c r="E190" s="62"/>
      <c r="F190" s="7"/>
      <c r="G190" s="7"/>
      <c r="I190" s="7"/>
      <c r="K190" s="62"/>
      <c r="L190" s="7"/>
      <c r="M190" s="7"/>
      <c r="O190" s="7"/>
      <c r="Q190" s="7"/>
      <c r="S190" s="7"/>
      <c r="U190" s="7"/>
      <c r="W190" s="7"/>
    </row>
    <row r="191">
      <c r="E191" s="62"/>
      <c r="F191" s="7"/>
      <c r="G191" s="7"/>
      <c r="I191" s="7"/>
      <c r="K191" s="62"/>
      <c r="L191" s="7"/>
      <c r="M191" s="7"/>
      <c r="O191" s="7"/>
      <c r="Q191" s="7"/>
      <c r="S191" s="7"/>
      <c r="U191" s="7"/>
      <c r="W191" s="7"/>
    </row>
    <row r="192">
      <c r="E192" s="62"/>
      <c r="F192" s="7"/>
      <c r="G192" s="7"/>
      <c r="I192" s="7"/>
      <c r="K192" s="62"/>
      <c r="L192" s="7"/>
      <c r="M192" s="7"/>
      <c r="O192" s="7"/>
      <c r="Q192" s="7"/>
      <c r="S192" s="7"/>
      <c r="U192" s="7"/>
      <c r="W192" s="7"/>
    </row>
    <row r="193">
      <c r="E193" s="62"/>
      <c r="F193" s="7"/>
      <c r="G193" s="7"/>
      <c r="I193" s="7"/>
      <c r="K193" s="62"/>
      <c r="L193" s="7"/>
      <c r="M193" s="7"/>
      <c r="O193" s="7"/>
      <c r="Q193" s="7"/>
      <c r="S193" s="7"/>
      <c r="U193" s="7"/>
      <c r="W193" s="7"/>
    </row>
    <row r="194">
      <c r="E194" s="62"/>
      <c r="F194" s="7"/>
      <c r="G194" s="7"/>
      <c r="I194" s="7"/>
      <c r="K194" s="62"/>
      <c r="L194" s="7"/>
      <c r="M194" s="7"/>
      <c r="O194" s="7"/>
      <c r="Q194" s="7"/>
      <c r="S194" s="7"/>
      <c r="U194" s="7"/>
      <c r="W194" s="7"/>
    </row>
    <row r="195">
      <c r="E195" s="62"/>
      <c r="F195" s="7"/>
      <c r="G195" s="7"/>
      <c r="I195" s="7"/>
      <c r="K195" s="62"/>
      <c r="L195" s="7"/>
      <c r="M195" s="7"/>
      <c r="O195" s="7"/>
      <c r="Q195" s="7"/>
      <c r="S195" s="7"/>
      <c r="U195" s="7"/>
      <c r="W195" s="7"/>
    </row>
    <row r="196">
      <c r="E196" s="62"/>
      <c r="F196" s="7"/>
      <c r="G196" s="7"/>
      <c r="I196" s="7"/>
      <c r="K196" s="62"/>
      <c r="L196" s="7"/>
      <c r="M196" s="7"/>
      <c r="O196" s="7"/>
      <c r="Q196" s="7"/>
      <c r="S196" s="7"/>
      <c r="U196" s="7"/>
      <c r="W196" s="7"/>
    </row>
    <row r="197">
      <c r="E197" s="62"/>
      <c r="F197" s="7"/>
      <c r="G197" s="7"/>
      <c r="I197" s="7"/>
      <c r="K197" s="62"/>
      <c r="L197" s="7"/>
      <c r="M197" s="7"/>
      <c r="O197" s="7"/>
      <c r="Q197" s="7"/>
      <c r="S197" s="7"/>
      <c r="U197" s="7"/>
      <c r="W197" s="7"/>
    </row>
    <row r="198">
      <c r="E198" s="62"/>
      <c r="F198" s="7"/>
      <c r="G198" s="7"/>
      <c r="I198" s="7"/>
      <c r="K198" s="62"/>
      <c r="L198" s="7"/>
      <c r="M198" s="7"/>
      <c r="O198" s="7"/>
      <c r="Q198" s="7"/>
      <c r="S198" s="7"/>
      <c r="U198" s="7"/>
      <c r="W198" s="7"/>
    </row>
    <row r="199">
      <c r="E199" s="62"/>
      <c r="F199" s="7"/>
      <c r="G199" s="7"/>
      <c r="I199" s="7"/>
      <c r="K199" s="62"/>
      <c r="L199" s="7"/>
      <c r="M199" s="7"/>
      <c r="O199" s="7"/>
      <c r="Q199" s="7"/>
      <c r="S199" s="7"/>
      <c r="U199" s="7"/>
      <c r="W199" s="7"/>
    </row>
    <row r="200">
      <c r="E200" s="62"/>
      <c r="F200" s="7"/>
      <c r="G200" s="7"/>
      <c r="I200" s="7"/>
      <c r="K200" s="62"/>
      <c r="L200" s="7"/>
      <c r="M200" s="7"/>
      <c r="O200" s="7"/>
      <c r="Q200" s="7"/>
      <c r="S200" s="7"/>
      <c r="U200" s="7"/>
      <c r="W200" s="7"/>
    </row>
    <row r="201">
      <c r="E201" s="62"/>
      <c r="F201" s="7"/>
      <c r="G201" s="7"/>
      <c r="I201" s="7"/>
      <c r="K201" s="62"/>
      <c r="L201" s="7"/>
      <c r="M201" s="7"/>
      <c r="O201" s="7"/>
      <c r="Q201" s="7"/>
      <c r="S201" s="7"/>
      <c r="U201" s="7"/>
      <c r="W201" s="7"/>
    </row>
    <row r="202">
      <c r="E202" s="62"/>
      <c r="F202" s="7"/>
      <c r="G202" s="7"/>
      <c r="I202" s="7"/>
      <c r="K202" s="62"/>
      <c r="L202" s="7"/>
      <c r="M202" s="7"/>
      <c r="O202" s="7"/>
      <c r="Q202" s="7"/>
      <c r="S202" s="7"/>
      <c r="U202" s="7"/>
      <c r="W202" s="7"/>
    </row>
    <row r="203">
      <c r="E203" s="62"/>
      <c r="F203" s="7"/>
      <c r="G203" s="7"/>
      <c r="I203" s="7"/>
      <c r="K203" s="62"/>
      <c r="L203" s="7"/>
      <c r="M203" s="7"/>
      <c r="O203" s="7"/>
      <c r="Q203" s="7"/>
      <c r="S203" s="7"/>
      <c r="U203" s="7"/>
      <c r="W203" s="7"/>
    </row>
    <row r="204">
      <c r="E204" s="62"/>
      <c r="F204" s="7"/>
      <c r="G204" s="7"/>
      <c r="I204" s="7"/>
      <c r="K204" s="62"/>
      <c r="L204" s="7"/>
      <c r="M204" s="7"/>
      <c r="O204" s="7"/>
      <c r="Q204" s="7"/>
      <c r="S204" s="7"/>
      <c r="U204" s="7"/>
      <c r="W204" s="7"/>
    </row>
    <row r="205">
      <c r="E205" s="62"/>
      <c r="F205" s="7"/>
      <c r="G205" s="7"/>
      <c r="I205" s="7"/>
      <c r="K205" s="62"/>
      <c r="L205" s="7"/>
      <c r="M205" s="7"/>
      <c r="O205" s="7"/>
      <c r="Q205" s="7"/>
      <c r="S205" s="7"/>
      <c r="U205" s="7"/>
      <c r="W205" s="7"/>
    </row>
    <row r="206">
      <c r="E206" s="62"/>
      <c r="F206" s="7"/>
      <c r="G206" s="7"/>
      <c r="I206" s="7"/>
      <c r="K206" s="62"/>
      <c r="L206" s="7"/>
      <c r="M206" s="7"/>
      <c r="O206" s="7"/>
      <c r="Q206" s="7"/>
      <c r="S206" s="7"/>
      <c r="U206" s="7"/>
      <c r="W206" s="7"/>
    </row>
    <row r="207">
      <c r="E207" s="62"/>
      <c r="F207" s="7"/>
      <c r="G207" s="7"/>
      <c r="I207" s="7"/>
      <c r="K207" s="62"/>
      <c r="L207" s="7"/>
      <c r="M207" s="7"/>
      <c r="O207" s="7"/>
      <c r="Q207" s="7"/>
      <c r="S207" s="7"/>
      <c r="U207" s="7"/>
      <c r="W207" s="7"/>
    </row>
    <row r="208">
      <c r="E208" s="62"/>
      <c r="F208" s="7"/>
      <c r="G208" s="7"/>
      <c r="I208" s="7"/>
      <c r="K208" s="62"/>
      <c r="L208" s="7"/>
      <c r="M208" s="7"/>
      <c r="O208" s="7"/>
      <c r="Q208" s="7"/>
      <c r="S208" s="7"/>
      <c r="U208" s="7"/>
      <c r="W208" s="7"/>
    </row>
    <row r="209">
      <c r="E209" s="62"/>
      <c r="F209" s="7"/>
      <c r="G209" s="7"/>
      <c r="I209" s="7"/>
      <c r="K209" s="62"/>
      <c r="L209" s="7"/>
      <c r="M209" s="7"/>
      <c r="O209" s="7"/>
      <c r="Q209" s="7"/>
      <c r="S209" s="7"/>
      <c r="U209" s="7"/>
      <c r="W209" s="7"/>
    </row>
    <row r="210">
      <c r="E210" s="62"/>
      <c r="F210" s="7"/>
      <c r="G210" s="7"/>
      <c r="I210" s="7"/>
      <c r="K210" s="62"/>
      <c r="L210" s="7"/>
      <c r="M210" s="7"/>
      <c r="O210" s="7"/>
      <c r="Q210" s="7"/>
      <c r="S210" s="7"/>
      <c r="U210" s="7"/>
      <c r="W210" s="7"/>
    </row>
    <row r="211">
      <c r="E211" s="62"/>
      <c r="F211" s="7"/>
      <c r="G211" s="7"/>
      <c r="I211" s="7"/>
      <c r="K211" s="62"/>
      <c r="L211" s="7"/>
      <c r="M211" s="7"/>
      <c r="O211" s="7"/>
      <c r="Q211" s="7"/>
      <c r="S211" s="7"/>
      <c r="U211" s="7"/>
      <c r="W211" s="7"/>
    </row>
    <row r="212">
      <c r="E212" s="62"/>
      <c r="F212" s="7"/>
      <c r="G212" s="7"/>
      <c r="I212" s="7"/>
      <c r="K212" s="62"/>
      <c r="L212" s="7"/>
      <c r="M212" s="7"/>
      <c r="O212" s="7"/>
      <c r="Q212" s="7"/>
      <c r="S212" s="7"/>
      <c r="U212" s="7"/>
      <c r="W212" s="7"/>
    </row>
    <row r="213">
      <c r="E213" s="62"/>
      <c r="F213" s="7"/>
      <c r="G213" s="7"/>
      <c r="I213" s="7"/>
      <c r="K213" s="62"/>
      <c r="L213" s="7"/>
      <c r="M213" s="7"/>
      <c r="O213" s="7"/>
      <c r="Q213" s="7"/>
      <c r="S213" s="7"/>
      <c r="U213" s="7"/>
      <c r="W213" s="7"/>
    </row>
    <row r="214">
      <c r="E214" s="62"/>
      <c r="F214" s="7"/>
      <c r="G214" s="7"/>
      <c r="I214" s="7"/>
      <c r="K214" s="62"/>
      <c r="L214" s="7"/>
      <c r="M214" s="7"/>
      <c r="O214" s="7"/>
      <c r="Q214" s="7"/>
      <c r="S214" s="7"/>
      <c r="U214" s="7"/>
      <c r="W214" s="7"/>
    </row>
    <row r="215">
      <c r="E215" s="62"/>
      <c r="F215" s="7"/>
      <c r="G215" s="7"/>
      <c r="I215" s="7"/>
      <c r="K215" s="62"/>
      <c r="L215" s="7"/>
      <c r="M215" s="7"/>
      <c r="O215" s="7"/>
      <c r="Q215" s="7"/>
      <c r="S215" s="7"/>
      <c r="U215" s="7"/>
      <c r="W215" s="7"/>
    </row>
    <row r="216">
      <c r="E216" s="62"/>
      <c r="F216" s="7"/>
      <c r="G216" s="7"/>
      <c r="I216" s="7"/>
      <c r="K216" s="62"/>
      <c r="L216" s="7"/>
      <c r="M216" s="7"/>
      <c r="O216" s="7"/>
      <c r="Q216" s="7"/>
      <c r="S216" s="7"/>
      <c r="U216" s="7"/>
      <c r="W216" s="7"/>
    </row>
    <row r="217">
      <c r="E217" s="62"/>
      <c r="F217" s="7"/>
      <c r="G217" s="7"/>
      <c r="I217" s="7"/>
      <c r="K217" s="62"/>
      <c r="L217" s="7"/>
      <c r="M217" s="7"/>
      <c r="O217" s="7"/>
      <c r="Q217" s="7"/>
      <c r="S217" s="7"/>
      <c r="U217" s="7"/>
      <c r="W217" s="7"/>
    </row>
    <row r="218">
      <c r="E218" s="62"/>
      <c r="F218" s="7"/>
      <c r="G218" s="7"/>
      <c r="I218" s="7"/>
      <c r="K218" s="62"/>
      <c r="L218" s="7"/>
      <c r="M218" s="7"/>
      <c r="O218" s="7"/>
      <c r="Q218" s="7"/>
      <c r="S218" s="7"/>
      <c r="U218" s="7"/>
      <c r="W218" s="7"/>
    </row>
    <row r="219">
      <c r="E219" s="62"/>
      <c r="F219" s="7"/>
      <c r="G219" s="7"/>
      <c r="I219" s="7"/>
      <c r="K219" s="62"/>
      <c r="L219" s="7"/>
      <c r="M219" s="7"/>
      <c r="O219" s="7"/>
      <c r="Q219" s="7"/>
      <c r="S219" s="7"/>
      <c r="U219" s="7"/>
      <c r="W219" s="7"/>
    </row>
    <row r="220">
      <c r="E220" s="62"/>
      <c r="F220" s="7"/>
      <c r="G220" s="7"/>
      <c r="I220" s="7"/>
      <c r="K220" s="62"/>
      <c r="L220" s="7"/>
      <c r="M220" s="7"/>
      <c r="O220" s="7"/>
      <c r="Q220" s="7"/>
      <c r="S220" s="7"/>
      <c r="U220" s="7"/>
      <c r="W220" s="7"/>
    </row>
    <row r="221">
      <c r="E221" s="62"/>
      <c r="F221" s="7"/>
      <c r="G221" s="7"/>
      <c r="I221" s="7"/>
      <c r="K221" s="62"/>
      <c r="L221" s="7"/>
      <c r="M221" s="7"/>
      <c r="O221" s="7"/>
      <c r="Q221" s="7"/>
      <c r="S221" s="7"/>
      <c r="U221" s="7"/>
      <c r="W221" s="7"/>
    </row>
    <row r="222">
      <c r="E222" s="62"/>
      <c r="F222" s="7"/>
      <c r="G222" s="7"/>
      <c r="I222" s="7"/>
      <c r="K222" s="62"/>
      <c r="L222" s="7"/>
      <c r="M222" s="7"/>
      <c r="O222" s="7"/>
      <c r="Q222" s="7"/>
      <c r="S222" s="7"/>
      <c r="U222" s="7"/>
      <c r="W222" s="7"/>
    </row>
    <row r="223">
      <c r="E223" s="62"/>
      <c r="F223" s="7"/>
      <c r="G223" s="7"/>
      <c r="I223" s="7"/>
      <c r="K223" s="62"/>
      <c r="L223" s="7"/>
      <c r="M223" s="7"/>
      <c r="O223" s="7"/>
      <c r="Q223" s="7"/>
      <c r="S223" s="7"/>
      <c r="U223" s="7"/>
      <c r="W223" s="7"/>
    </row>
    <row r="224">
      <c r="E224" s="62"/>
      <c r="F224" s="7"/>
      <c r="G224" s="7"/>
      <c r="I224" s="7"/>
      <c r="K224" s="62"/>
      <c r="L224" s="7"/>
      <c r="M224" s="7"/>
      <c r="O224" s="7"/>
      <c r="Q224" s="7"/>
      <c r="S224" s="7"/>
      <c r="U224" s="7"/>
      <c r="W224" s="7"/>
    </row>
    <row r="225">
      <c r="E225" s="62"/>
      <c r="F225" s="7"/>
      <c r="G225" s="7"/>
      <c r="I225" s="7"/>
      <c r="K225" s="62"/>
      <c r="L225" s="7"/>
      <c r="M225" s="7"/>
      <c r="O225" s="7"/>
      <c r="Q225" s="7"/>
      <c r="S225" s="7"/>
      <c r="U225" s="7"/>
      <c r="W225" s="7"/>
    </row>
    <row r="226">
      <c r="E226" s="62"/>
      <c r="F226" s="7"/>
      <c r="G226" s="7"/>
      <c r="I226" s="7"/>
      <c r="K226" s="62"/>
      <c r="L226" s="7"/>
      <c r="M226" s="7"/>
      <c r="O226" s="7"/>
      <c r="Q226" s="7"/>
      <c r="S226" s="7"/>
      <c r="U226" s="7"/>
      <c r="W226" s="7"/>
    </row>
    <row r="227">
      <c r="E227" s="62"/>
      <c r="F227" s="7"/>
      <c r="G227" s="7"/>
      <c r="I227" s="7"/>
      <c r="K227" s="62"/>
      <c r="L227" s="7"/>
      <c r="M227" s="7"/>
      <c r="O227" s="7"/>
      <c r="Q227" s="7"/>
      <c r="S227" s="7"/>
      <c r="U227" s="7"/>
      <c r="W227" s="7"/>
    </row>
    <row r="228">
      <c r="E228" s="62"/>
      <c r="F228" s="7"/>
      <c r="G228" s="7"/>
      <c r="I228" s="7"/>
      <c r="K228" s="62"/>
      <c r="L228" s="7"/>
      <c r="M228" s="7"/>
      <c r="O228" s="7"/>
      <c r="Q228" s="7"/>
      <c r="S228" s="7"/>
      <c r="U228" s="7"/>
      <c r="W228" s="7"/>
    </row>
    <row r="229">
      <c r="E229" s="62"/>
      <c r="F229" s="7"/>
      <c r="G229" s="7"/>
      <c r="I229" s="7"/>
      <c r="K229" s="62"/>
      <c r="L229" s="7"/>
      <c r="M229" s="7"/>
      <c r="O229" s="7"/>
      <c r="Q229" s="7"/>
      <c r="S229" s="7"/>
      <c r="U229" s="7"/>
      <c r="W229" s="7"/>
    </row>
    <row r="230">
      <c r="E230" s="62"/>
      <c r="F230" s="7"/>
      <c r="G230" s="7"/>
      <c r="I230" s="7"/>
      <c r="K230" s="62"/>
      <c r="L230" s="7"/>
      <c r="M230" s="7"/>
      <c r="O230" s="7"/>
      <c r="Q230" s="7"/>
      <c r="S230" s="7"/>
      <c r="U230" s="7"/>
      <c r="W230" s="7"/>
    </row>
    <row r="231">
      <c r="E231" s="62"/>
      <c r="F231" s="7"/>
      <c r="G231" s="7"/>
      <c r="I231" s="7"/>
      <c r="K231" s="62"/>
      <c r="L231" s="7"/>
      <c r="M231" s="7"/>
      <c r="O231" s="7"/>
      <c r="Q231" s="7"/>
      <c r="S231" s="7"/>
      <c r="U231" s="7"/>
      <c r="W231" s="7"/>
    </row>
    <row r="232">
      <c r="E232" s="62"/>
      <c r="F232" s="7"/>
      <c r="G232" s="7"/>
      <c r="I232" s="7"/>
      <c r="K232" s="62"/>
      <c r="L232" s="7"/>
      <c r="M232" s="7"/>
      <c r="O232" s="7"/>
      <c r="Q232" s="7"/>
      <c r="S232" s="7"/>
      <c r="U232" s="7"/>
      <c r="W232" s="7"/>
    </row>
    <row r="233">
      <c r="E233" s="62"/>
      <c r="F233" s="7"/>
      <c r="G233" s="7"/>
      <c r="I233" s="7"/>
      <c r="K233" s="62"/>
      <c r="L233" s="7"/>
      <c r="M233" s="7"/>
      <c r="O233" s="7"/>
      <c r="Q233" s="7"/>
      <c r="S233" s="7"/>
      <c r="U233" s="7"/>
      <c r="W233" s="7"/>
    </row>
    <row r="234">
      <c r="E234" s="62"/>
      <c r="F234" s="7"/>
      <c r="G234" s="7"/>
      <c r="I234" s="7"/>
      <c r="K234" s="62"/>
      <c r="L234" s="7"/>
      <c r="M234" s="7"/>
      <c r="O234" s="7"/>
      <c r="Q234" s="7"/>
      <c r="S234" s="7"/>
      <c r="U234" s="7"/>
      <c r="W234" s="7"/>
    </row>
    <row r="235">
      <c r="E235" s="62"/>
      <c r="F235" s="7"/>
      <c r="G235" s="7"/>
      <c r="I235" s="7"/>
      <c r="K235" s="62"/>
      <c r="L235" s="7"/>
      <c r="M235" s="7"/>
      <c r="O235" s="7"/>
      <c r="Q235" s="7"/>
      <c r="S235" s="7"/>
      <c r="U235" s="7"/>
      <c r="W235" s="7"/>
    </row>
    <row r="236">
      <c r="E236" s="62"/>
      <c r="F236" s="7"/>
      <c r="G236" s="7"/>
      <c r="I236" s="7"/>
      <c r="K236" s="62"/>
      <c r="L236" s="7"/>
      <c r="M236" s="7"/>
      <c r="O236" s="7"/>
      <c r="Q236" s="7"/>
      <c r="S236" s="7"/>
      <c r="U236" s="7"/>
      <c r="W236" s="7"/>
    </row>
    <row r="237">
      <c r="E237" s="62"/>
      <c r="F237" s="7"/>
      <c r="G237" s="7"/>
      <c r="I237" s="7"/>
      <c r="K237" s="62"/>
      <c r="L237" s="7"/>
      <c r="M237" s="7"/>
      <c r="O237" s="7"/>
      <c r="Q237" s="7"/>
      <c r="S237" s="7"/>
      <c r="U237" s="7"/>
      <c r="W237" s="7"/>
    </row>
    <row r="238">
      <c r="E238" s="62"/>
      <c r="F238" s="7"/>
      <c r="G238" s="7"/>
      <c r="I238" s="7"/>
      <c r="K238" s="62"/>
      <c r="L238" s="7"/>
      <c r="M238" s="7"/>
      <c r="O238" s="7"/>
      <c r="Q238" s="7"/>
      <c r="S238" s="7"/>
      <c r="U238" s="7"/>
      <c r="W238" s="7"/>
    </row>
    <row r="239">
      <c r="E239" s="62"/>
      <c r="F239" s="7"/>
      <c r="G239" s="7"/>
      <c r="I239" s="7"/>
      <c r="K239" s="62"/>
      <c r="L239" s="7"/>
      <c r="M239" s="7"/>
      <c r="O239" s="7"/>
      <c r="Q239" s="7"/>
      <c r="S239" s="7"/>
      <c r="U239" s="7"/>
      <c r="W239" s="7"/>
    </row>
    <row r="240">
      <c r="E240" s="62"/>
      <c r="F240" s="7"/>
      <c r="G240" s="7"/>
      <c r="I240" s="7"/>
      <c r="K240" s="62"/>
      <c r="L240" s="7"/>
      <c r="M240" s="7"/>
      <c r="O240" s="7"/>
      <c r="Q240" s="7"/>
      <c r="S240" s="7"/>
      <c r="U240" s="7"/>
      <c r="W240" s="7"/>
    </row>
    <row r="241">
      <c r="E241" s="62"/>
      <c r="F241" s="7"/>
      <c r="G241" s="7"/>
      <c r="I241" s="7"/>
      <c r="K241" s="62"/>
      <c r="L241" s="7"/>
      <c r="M241" s="7"/>
      <c r="O241" s="7"/>
      <c r="Q241" s="7"/>
      <c r="S241" s="7"/>
      <c r="U241" s="7"/>
      <c r="W241" s="7"/>
    </row>
    <row r="242">
      <c r="E242" s="62"/>
      <c r="F242" s="7"/>
      <c r="G242" s="7"/>
      <c r="I242" s="7"/>
      <c r="K242" s="62"/>
      <c r="L242" s="7"/>
      <c r="M242" s="7"/>
      <c r="O242" s="7"/>
      <c r="Q242" s="7"/>
      <c r="S242" s="7"/>
      <c r="U242" s="7"/>
      <c r="W242" s="7"/>
    </row>
    <row r="243">
      <c r="E243" s="62"/>
      <c r="F243" s="7"/>
      <c r="G243" s="7"/>
      <c r="I243" s="7"/>
      <c r="K243" s="62"/>
      <c r="L243" s="7"/>
      <c r="M243" s="7"/>
      <c r="O243" s="7"/>
      <c r="Q243" s="7"/>
      <c r="S243" s="7"/>
      <c r="U243" s="7"/>
      <c r="W243" s="7"/>
    </row>
    <row r="244">
      <c r="E244" s="62"/>
      <c r="F244" s="7"/>
      <c r="G244" s="7"/>
      <c r="I244" s="7"/>
      <c r="K244" s="62"/>
      <c r="L244" s="7"/>
      <c r="M244" s="7"/>
      <c r="O244" s="7"/>
      <c r="Q244" s="7"/>
      <c r="S244" s="7"/>
      <c r="U244" s="7"/>
      <c r="W244" s="7"/>
    </row>
    <row r="245">
      <c r="E245" s="62"/>
      <c r="F245" s="7"/>
      <c r="G245" s="7"/>
      <c r="I245" s="7"/>
      <c r="K245" s="62"/>
      <c r="L245" s="7"/>
      <c r="M245" s="7"/>
      <c r="O245" s="7"/>
      <c r="Q245" s="7"/>
      <c r="S245" s="7"/>
      <c r="U245" s="7"/>
      <c r="W245" s="7"/>
    </row>
    <row r="246">
      <c r="E246" s="62"/>
      <c r="F246" s="7"/>
      <c r="G246" s="7"/>
      <c r="I246" s="7"/>
      <c r="K246" s="62"/>
      <c r="L246" s="7"/>
      <c r="M246" s="7"/>
      <c r="O246" s="7"/>
      <c r="Q246" s="7"/>
      <c r="S246" s="7"/>
      <c r="U246" s="7"/>
      <c r="W246" s="7"/>
    </row>
    <row r="247">
      <c r="E247" s="62"/>
      <c r="F247" s="7"/>
      <c r="G247" s="7"/>
      <c r="I247" s="7"/>
      <c r="K247" s="62"/>
      <c r="L247" s="7"/>
      <c r="M247" s="7"/>
      <c r="O247" s="7"/>
      <c r="Q247" s="7"/>
      <c r="S247" s="7"/>
      <c r="U247" s="7"/>
      <c r="W247" s="7"/>
    </row>
    <row r="248">
      <c r="E248" s="62"/>
      <c r="F248" s="7"/>
      <c r="G248" s="7"/>
      <c r="I248" s="7"/>
      <c r="K248" s="62"/>
      <c r="L248" s="7"/>
      <c r="M248" s="7"/>
      <c r="O248" s="7"/>
      <c r="Q248" s="7"/>
      <c r="S248" s="7"/>
      <c r="U248" s="7"/>
      <c r="W248" s="7"/>
    </row>
    <row r="249">
      <c r="E249" s="62"/>
      <c r="F249" s="7"/>
      <c r="G249" s="7"/>
      <c r="I249" s="7"/>
      <c r="K249" s="62"/>
      <c r="L249" s="7"/>
      <c r="M249" s="7"/>
      <c r="O249" s="7"/>
      <c r="Q249" s="7"/>
      <c r="S249" s="7"/>
      <c r="U249" s="7"/>
      <c r="W249" s="7"/>
    </row>
    <row r="250">
      <c r="E250" s="62"/>
      <c r="F250" s="7"/>
      <c r="G250" s="7"/>
      <c r="I250" s="7"/>
      <c r="K250" s="62"/>
      <c r="L250" s="7"/>
      <c r="M250" s="7"/>
      <c r="O250" s="7"/>
      <c r="Q250" s="7"/>
      <c r="S250" s="7"/>
      <c r="U250" s="7"/>
      <c r="W250" s="7"/>
    </row>
    <row r="251">
      <c r="E251" s="62"/>
      <c r="F251" s="7"/>
      <c r="G251" s="7"/>
      <c r="I251" s="7"/>
      <c r="K251" s="62"/>
      <c r="L251" s="7"/>
      <c r="M251" s="7"/>
      <c r="O251" s="7"/>
      <c r="Q251" s="7"/>
      <c r="S251" s="7"/>
      <c r="U251" s="7"/>
      <c r="W251" s="7"/>
    </row>
    <row r="252">
      <c r="E252" s="62"/>
      <c r="F252" s="7"/>
      <c r="G252" s="7"/>
      <c r="I252" s="7"/>
      <c r="K252" s="62"/>
      <c r="L252" s="7"/>
      <c r="M252" s="7"/>
      <c r="O252" s="7"/>
      <c r="Q252" s="7"/>
      <c r="S252" s="7"/>
      <c r="U252" s="7"/>
      <c r="W252" s="7"/>
    </row>
    <row r="253">
      <c r="E253" s="62"/>
      <c r="F253" s="7"/>
      <c r="G253" s="7"/>
      <c r="I253" s="7"/>
      <c r="K253" s="62"/>
      <c r="L253" s="7"/>
      <c r="M253" s="7"/>
      <c r="O253" s="7"/>
      <c r="Q253" s="7"/>
      <c r="S253" s="7"/>
      <c r="U253" s="7"/>
      <c r="W253" s="7"/>
    </row>
    <row r="254">
      <c r="E254" s="62"/>
      <c r="F254" s="7"/>
      <c r="G254" s="7"/>
      <c r="I254" s="7"/>
      <c r="K254" s="62"/>
      <c r="L254" s="7"/>
      <c r="M254" s="7"/>
      <c r="O254" s="7"/>
      <c r="Q254" s="7"/>
      <c r="S254" s="7"/>
      <c r="U254" s="7"/>
      <c r="W254" s="7"/>
    </row>
    <row r="255">
      <c r="E255" s="62"/>
      <c r="F255" s="7"/>
      <c r="G255" s="7"/>
      <c r="I255" s="7"/>
      <c r="K255" s="62"/>
      <c r="L255" s="7"/>
      <c r="M255" s="7"/>
      <c r="O255" s="7"/>
      <c r="Q255" s="7"/>
      <c r="S255" s="7"/>
      <c r="U255" s="7"/>
      <c r="W255" s="7"/>
    </row>
    <row r="256">
      <c r="E256" s="62"/>
      <c r="F256" s="7"/>
      <c r="G256" s="7"/>
      <c r="I256" s="7"/>
      <c r="K256" s="62"/>
      <c r="L256" s="7"/>
      <c r="M256" s="7"/>
      <c r="O256" s="7"/>
      <c r="Q256" s="7"/>
      <c r="S256" s="7"/>
      <c r="U256" s="7"/>
      <c r="W256" s="7"/>
    </row>
    <row r="257">
      <c r="E257" s="62"/>
      <c r="F257" s="7"/>
      <c r="G257" s="7"/>
      <c r="I257" s="7"/>
      <c r="K257" s="62"/>
      <c r="L257" s="7"/>
      <c r="M257" s="7"/>
      <c r="O257" s="7"/>
      <c r="Q257" s="7"/>
      <c r="S257" s="7"/>
      <c r="U257" s="7"/>
      <c r="W257" s="7"/>
    </row>
    <row r="258">
      <c r="E258" s="62"/>
      <c r="F258" s="7"/>
      <c r="G258" s="7"/>
      <c r="I258" s="7"/>
      <c r="K258" s="62"/>
      <c r="L258" s="7"/>
      <c r="M258" s="7"/>
      <c r="O258" s="7"/>
      <c r="Q258" s="7"/>
      <c r="S258" s="7"/>
      <c r="U258" s="7"/>
      <c r="W258" s="7"/>
    </row>
    <row r="259">
      <c r="E259" s="62"/>
      <c r="F259" s="7"/>
      <c r="G259" s="7"/>
      <c r="I259" s="7"/>
      <c r="K259" s="62"/>
      <c r="L259" s="7"/>
      <c r="M259" s="7"/>
      <c r="O259" s="7"/>
      <c r="Q259" s="7"/>
      <c r="S259" s="7"/>
      <c r="U259" s="7"/>
      <c r="W259" s="7"/>
    </row>
    <row r="260">
      <c r="E260" s="62"/>
      <c r="F260" s="7"/>
      <c r="G260" s="7"/>
      <c r="I260" s="7"/>
      <c r="K260" s="62"/>
      <c r="L260" s="7"/>
      <c r="M260" s="7"/>
      <c r="O260" s="7"/>
      <c r="Q260" s="7"/>
      <c r="S260" s="7"/>
      <c r="U260" s="7"/>
      <c r="W260" s="7"/>
    </row>
    <row r="261">
      <c r="E261" s="62"/>
      <c r="F261" s="7"/>
      <c r="G261" s="7"/>
      <c r="I261" s="7"/>
      <c r="K261" s="62"/>
      <c r="L261" s="7"/>
      <c r="M261" s="7"/>
      <c r="O261" s="7"/>
      <c r="Q261" s="7"/>
      <c r="S261" s="7"/>
      <c r="U261" s="7"/>
      <c r="W261" s="7"/>
    </row>
    <row r="262">
      <c r="E262" s="62"/>
      <c r="F262" s="7"/>
      <c r="G262" s="7"/>
      <c r="I262" s="7"/>
      <c r="K262" s="62"/>
      <c r="L262" s="7"/>
      <c r="M262" s="7"/>
      <c r="O262" s="7"/>
      <c r="Q262" s="7"/>
      <c r="S262" s="7"/>
      <c r="U262" s="7"/>
      <c r="W262" s="7"/>
    </row>
    <row r="263">
      <c r="E263" s="62"/>
      <c r="F263" s="7"/>
      <c r="G263" s="7"/>
      <c r="I263" s="7"/>
      <c r="K263" s="62"/>
      <c r="L263" s="7"/>
      <c r="M263" s="7"/>
      <c r="O263" s="7"/>
      <c r="Q263" s="7"/>
      <c r="S263" s="7"/>
      <c r="U263" s="7"/>
      <c r="W263" s="7"/>
    </row>
    <row r="264">
      <c r="E264" s="62"/>
      <c r="F264" s="7"/>
      <c r="G264" s="7"/>
      <c r="I264" s="7"/>
      <c r="K264" s="62"/>
      <c r="L264" s="7"/>
      <c r="M264" s="7"/>
      <c r="O264" s="7"/>
      <c r="Q264" s="7"/>
      <c r="S264" s="7"/>
      <c r="U264" s="7"/>
      <c r="W264" s="7"/>
    </row>
    <row r="265">
      <c r="E265" s="62"/>
      <c r="F265" s="7"/>
      <c r="G265" s="7"/>
      <c r="I265" s="7"/>
      <c r="K265" s="62"/>
      <c r="L265" s="7"/>
      <c r="M265" s="7"/>
      <c r="O265" s="7"/>
      <c r="Q265" s="7"/>
      <c r="S265" s="7"/>
      <c r="U265" s="7"/>
      <c r="W265" s="7"/>
    </row>
    <row r="266">
      <c r="E266" s="62"/>
      <c r="F266" s="7"/>
      <c r="G266" s="7"/>
      <c r="I266" s="7"/>
      <c r="K266" s="62"/>
      <c r="L266" s="7"/>
      <c r="M266" s="7"/>
      <c r="O266" s="7"/>
      <c r="Q266" s="7"/>
      <c r="S266" s="7"/>
      <c r="U266" s="7"/>
      <c r="W266" s="7"/>
    </row>
    <row r="267">
      <c r="E267" s="62"/>
      <c r="F267" s="7"/>
      <c r="G267" s="7"/>
      <c r="I267" s="7"/>
      <c r="K267" s="62"/>
      <c r="L267" s="7"/>
      <c r="M267" s="7"/>
      <c r="O267" s="7"/>
      <c r="Q267" s="7"/>
      <c r="S267" s="7"/>
      <c r="U267" s="7"/>
      <c r="W267" s="7"/>
    </row>
    <row r="268">
      <c r="E268" s="62"/>
      <c r="F268" s="7"/>
      <c r="G268" s="7"/>
      <c r="I268" s="7"/>
      <c r="K268" s="62"/>
      <c r="L268" s="7"/>
      <c r="M268" s="7"/>
      <c r="O268" s="7"/>
      <c r="Q268" s="7"/>
      <c r="S268" s="7"/>
      <c r="U268" s="7"/>
      <c r="W268" s="7"/>
    </row>
    <row r="269">
      <c r="E269" s="62"/>
      <c r="F269" s="7"/>
      <c r="G269" s="7"/>
      <c r="I269" s="7"/>
      <c r="K269" s="62"/>
      <c r="L269" s="7"/>
      <c r="M269" s="7"/>
      <c r="O269" s="7"/>
      <c r="Q269" s="7"/>
      <c r="S269" s="7"/>
      <c r="U269" s="7"/>
      <c r="W269" s="7"/>
    </row>
    <row r="270">
      <c r="E270" s="62"/>
      <c r="F270" s="7"/>
      <c r="G270" s="7"/>
      <c r="I270" s="7"/>
      <c r="K270" s="62"/>
      <c r="L270" s="7"/>
      <c r="M270" s="7"/>
      <c r="O270" s="7"/>
      <c r="Q270" s="7"/>
      <c r="S270" s="7"/>
      <c r="U270" s="7"/>
      <c r="W270" s="7"/>
    </row>
    <row r="271">
      <c r="E271" s="62"/>
      <c r="F271" s="7"/>
      <c r="G271" s="7"/>
      <c r="I271" s="7"/>
      <c r="K271" s="62"/>
      <c r="L271" s="7"/>
      <c r="M271" s="7"/>
      <c r="O271" s="7"/>
      <c r="Q271" s="7"/>
      <c r="S271" s="7"/>
      <c r="U271" s="7"/>
      <c r="W271" s="7"/>
    </row>
    <row r="272">
      <c r="E272" s="62"/>
      <c r="F272" s="7"/>
      <c r="G272" s="7"/>
      <c r="I272" s="7"/>
      <c r="K272" s="62"/>
      <c r="L272" s="7"/>
      <c r="M272" s="7"/>
      <c r="O272" s="7"/>
      <c r="Q272" s="7"/>
      <c r="S272" s="7"/>
      <c r="U272" s="7"/>
      <c r="W272" s="7"/>
    </row>
    <row r="273">
      <c r="E273" s="62"/>
      <c r="F273" s="7"/>
      <c r="G273" s="7"/>
      <c r="I273" s="7"/>
      <c r="K273" s="62"/>
      <c r="L273" s="7"/>
      <c r="M273" s="7"/>
      <c r="O273" s="7"/>
      <c r="Q273" s="7"/>
      <c r="S273" s="7"/>
      <c r="U273" s="7"/>
      <c r="W273" s="7"/>
    </row>
    <row r="274">
      <c r="E274" s="62"/>
      <c r="F274" s="7"/>
      <c r="G274" s="7"/>
      <c r="I274" s="7"/>
      <c r="K274" s="62"/>
      <c r="L274" s="7"/>
      <c r="M274" s="7"/>
      <c r="O274" s="7"/>
      <c r="Q274" s="7"/>
      <c r="S274" s="7"/>
      <c r="U274" s="7"/>
      <c r="W274" s="7"/>
    </row>
    <row r="275">
      <c r="E275" s="62"/>
      <c r="F275" s="7"/>
      <c r="G275" s="7"/>
      <c r="I275" s="7"/>
      <c r="K275" s="62"/>
      <c r="L275" s="7"/>
      <c r="M275" s="7"/>
      <c r="O275" s="7"/>
      <c r="Q275" s="7"/>
      <c r="S275" s="7"/>
      <c r="U275" s="7"/>
      <c r="W275" s="7"/>
    </row>
    <row r="276">
      <c r="E276" s="62"/>
      <c r="F276" s="7"/>
      <c r="G276" s="7"/>
      <c r="I276" s="7"/>
      <c r="K276" s="62"/>
      <c r="L276" s="7"/>
      <c r="M276" s="7"/>
      <c r="O276" s="7"/>
      <c r="Q276" s="7"/>
      <c r="S276" s="7"/>
      <c r="U276" s="7"/>
      <c r="W276" s="7"/>
    </row>
    <row r="277">
      <c r="E277" s="62"/>
      <c r="F277" s="7"/>
      <c r="G277" s="7"/>
      <c r="I277" s="7"/>
      <c r="K277" s="62"/>
      <c r="L277" s="7"/>
      <c r="M277" s="7"/>
      <c r="O277" s="7"/>
      <c r="Q277" s="7"/>
      <c r="S277" s="7"/>
      <c r="U277" s="7"/>
      <c r="W277" s="7"/>
    </row>
    <row r="278">
      <c r="E278" s="62"/>
      <c r="F278" s="7"/>
      <c r="G278" s="7"/>
      <c r="I278" s="7"/>
      <c r="K278" s="62"/>
      <c r="L278" s="7"/>
      <c r="M278" s="7"/>
      <c r="O278" s="7"/>
      <c r="Q278" s="7"/>
      <c r="S278" s="7"/>
      <c r="U278" s="7"/>
      <c r="W278" s="7"/>
    </row>
    <row r="279">
      <c r="E279" s="62"/>
      <c r="F279" s="7"/>
      <c r="G279" s="7"/>
      <c r="I279" s="7"/>
      <c r="K279" s="62"/>
      <c r="L279" s="7"/>
      <c r="M279" s="7"/>
      <c r="O279" s="7"/>
      <c r="Q279" s="7"/>
      <c r="S279" s="7"/>
      <c r="U279" s="7"/>
      <c r="W279" s="7"/>
    </row>
    <row r="280">
      <c r="E280" s="62"/>
      <c r="F280" s="7"/>
      <c r="G280" s="7"/>
      <c r="I280" s="7"/>
      <c r="K280" s="62"/>
      <c r="L280" s="7"/>
      <c r="M280" s="7"/>
      <c r="O280" s="7"/>
      <c r="Q280" s="7"/>
      <c r="S280" s="7"/>
      <c r="U280" s="7"/>
      <c r="W280" s="7"/>
    </row>
    <row r="281">
      <c r="E281" s="62"/>
      <c r="F281" s="7"/>
      <c r="G281" s="7"/>
      <c r="I281" s="7"/>
      <c r="K281" s="62"/>
      <c r="L281" s="7"/>
      <c r="M281" s="7"/>
      <c r="O281" s="7"/>
      <c r="Q281" s="7"/>
      <c r="S281" s="7"/>
      <c r="U281" s="7"/>
      <c r="W281" s="7"/>
    </row>
    <row r="282">
      <c r="E282" s="62"/>
      <c r="F282" s="7"/>
      <c r="G282" s="7"/>
      <c r="I282" s="7"/>
      <c r="K282" s="62"/>
      <c r="L282" s="7"/>
      <c r="M282" s="7"/>
      <c r="O282" s="7"/>
      <c r="Q282" s="7"/>
      <c r="S282" s="7"/>
      <c r="U282" s="7"/>
      <c r="W282" s="7"/>
    </row>
    <row r="283">
      <c r="E283" s="62"/>
      <c r="F283" s="7"/>
      <c r="G283" s="7"/>
      <c r="I283" s="7"/>
      <c r="K283" s="62"/>
      <c r="L283" s="7"/>
      <c r="M283" s="7"/>
      <c r="O283" s="7"/>
      <c r="Q283" s="7"/>
      <c r="S283" s="7"/>
      <c r="U283" s="7"/>
      <c r="W283" s="7"/>
    </row>
    <row r="284">
      <c r="E284" s="62"/>
      <c r="F284" s="7"/>
      <c r="G284" s="7"/>
      <c r="I284" s="7"/>
      <c r="K284" s="62"/>
      <c r="L284" s="7"/>
      <c r="M284" s="7"/>
      <c r="O284" s="7"/>
      <c r="Q284" s="7"/>
      <c r="S284" s="7"/>
      <c r="U284" s="7"/>
      <c r="W284" s="7"/>
    </row>
    <row r="285">
      <c r="E285" s="62"/>
      <c r="F285" s="7"/>
      <c r="G285" s="7"/>
      <c r="I285" s="7"/>
      <c r="K285" s="62"/>
      <c r="L285" s="7"/>
      <c r="M285" s="7"/>
      <c r="O285" s="7"/>
      <c r="Q285" s="7"/>
      <c r="S285" s="7"/>
      <c r="U285" s="7"/>
      <c r="W285" s="7"/>
    </row>
    <row r="286">
      <c r="E286" s="62"/>
      <c r="F286" s="7"/>
      <c r="G286" s="7"/>
      <c r="I286" s="7"/>
      <c r="K286" s="62"/>
      <c r="L286" s="7"/>
      <c r="M286" s="7"/>
      <c r="O286" s="7"/>
      <c r="Q286" s="7"/>
      <c r="S286" s="7"/>
      <c r="U286" s="7"/>
      <c r="W286" s="7"/>
    </row>
    <row r="287">
      <c r="E287" s="62"/>
      <c r="F287" s="7"/>
      <c r="G287" s="7"/>
      <c r="I287" s="7"/>
      <c r="K287" s="62"/>
      <c r="L287" s="7"/>
      <c r="M287" s="7"/>
      <c r="O287" s="7"/>
      <c r="Q287" s="7"/>
      <c r="S287" s="7"/>
      <c r="U287" s="7"/>
      <c r="W287" s="7"/>
    </row>
    <row r="288">
      <c r="E288" s="62"/>
      <c r="F288" s="7"/>
      <c r="G288" s="7"/>
      <c r="I288" s="7"/>
      <c r="K288" s="62"/>
      <c r="L288" s="7"/>
      <c r="M288" s="7"/>
      <c r="O288" s="7"/>
      <c r="Q288" s="7"/>
      <c r="S288" s="7"/>
      <c r="U288" s="7"/>
      <c r="W288" s="7"/>
    </row>
    <row r="289">
      <c r="E289" s="62"/>
      <c r="F289" s="7"/>
      <c r="G289" s="7"/>
      <c r="I289" s="7"/>
      <c r="K289" s="62"/>
      <c r="L289" s="7"/>
      <c r="M289" s="7"/>
      <c r="O289" s="7"/>
      <c r="Q289" s="7"/>
      <c r="S289" s="7"/>
      <c r="U289" s="7"/>
      <c r="W289" s="7"/>
    </row>
    <row r="290">
      <c r="E290" s="62"/>
      <c r="F290" s="7"/>
      <c r="G290" s="7"/>
      <c r="I290" s="7"/>
      <c r="K290" s="62"/>
      <c r="L290" s="7"/>
      <c r="M290" s="7"/>
      <c r="O290" s="7"/>
      <c r="Q290" s="7"/>
      <c r="S290" s="7"/>
      <c r="U290" s="7"/>
      <c r="W290" s="7"/>
    </row>
    <row r="291">
      <c r="E291" s="62"/>
      <c r="F291" s="7"/>
      <c r="G291" s="7"/>
      <c r="I291" s="7"/>
      <c r="K291" s="62"/>
      <c r="L291" s="7"/>
      <c r="M291" s="7"/>
      <c r="O291" s="7"/>
      <c r="Q291" s="7"/>
      <c r="S291" s="7"/>
      <c r="U291" s="7"/>
      <c r="W291" s="7"/>
    </row>
    <row r="292">
      <c r="E292" s="62"/>
      <c r="F292" s="7"/>
      <c r="G292" s="7"/>
      <c r="I292" s="7"/>
      <c r="K292" s="62"/>
      <c r="L292" s="7"/>
      <c r="M292" s="7"/>
      <c r="O292" s="7"/>
      <c r="Q292" s="7"/>
      <c r="S292" s="7"/>
      <c r="U292" s="7"/>
      <c r="W292" s="7"/>
    </row>
    <row r="293">
      <c r="E293" s="62"/>
      <c r="F293" s="7"/>
      <c r="G293" s="7"/>
      <c r="I293" s="7"/>
      <c r="K293" s="62"/>
      <c r="L293" s="7"/>
      <c r="M293" s="7"/>
      <c r="O293" s="7"/>
      <c r="Q293" s="7"/>
      <c r="S293" s="7"/>
      <c r="U293" s="7"/>
      <c r="W293" s="7"/>
    </row>
    <row r="294">
      <c r="E294" s="62"/>
      <c r="F294" s="7"/>
      <c r="G294" s="7"/>
      <c r="I294" s="7"/>
      <c r="K294" s="62"/>
      <c r="L294" s="7"/>
      <c r="M294" s="7"/>
      <c r="O294" s="7"/>
      <c r="Q294" s="7"/>
      <c r="S294" s="7"/>
      <c r="U294" s="7"/>
      <c r="W294" s="7"/>
    </row>
    <row r="295">
      <c r="E295" s="62"/>
      <c r="F295" s="7"/>
      <c r="G295" s="7"/>
      <c r="I295" s="7"/>
      <c r="K295" s="62"/>
      <c r="L295" s="7"/>
      <c r="M295" s="7"/>
      <c r="O295" s="7"/>
      <c r="Q295" s="7"/>
      <c r="S295" s="7"/>
      <c r="U295" s="7"/>
      <c r="W295" s="7"/>
    </row>
    <row r="296">
      <c r="E296" s="62"/>
      <c r="F296" s="7"/>
      <c r="G296" s="7"/>
      <c r="I296" s="7"/>
      <c r="K296" s="62"/>
      <c r="L296" s="7"/>
      <c r="M296" s="7"/>
      <c r="O296" s="7"/>
      <c r="Q296" s="7"/>
      <c r="S296" s="7"/>
      <c r="U296" s="7"/>
      <c r="W296" s="7"/>
    </row>
    <row r="297">
      <c r="E297" s="62"/>
      <c r="F297" s="7"/>
      <c r="G297" s="7"/>
      <c r="I297" s="7"/>
      <c r="K297" s="62"/>
      <c r="L297" s="7"/>
      <c r="M297" s="7"/>
      <c r="O297" s="7"/>
      <c r="Q297" s="7"/>
      <c r="S297" s="7"/>
      <c r="U297" s="7"/>
      <c r="W297" s="7"/>
    </row>
    <row r="298">
      <c r="E298" s="62"/>
      <c r="F298" s="7"/>
      <c r="G298" s="7"/>
      <c r="I298" s="7"/>
      <c r="K298" s="62"/>
      <c r="L298" s="7"/>
      <c r="M298" s="7"/>
      <c r="O298" s="7"/>
      <c r="Q298" s="7"/>
      <c r="S298" s="7"/>
      <c r="U298" s="7"/>
      <c r="W298" s="7"/>
    </row>
    <row r="299">
      <c r="E299" s="62"/>
      <c r="F299" s="7"/>
      <c r="G299" s="7"/>
      <c r="I299" s="7"/>
      <c r="K299" s="62"/>
      <c r="L299" s="7"/>
      <c r="M299" s="7"/>
      <c r="O299" s="7"/>
      <c r="Q299" s="7"/>
      <c r="S299" s="7"/>
      <c r="U299" s="7"/>
      <c r="W299" s="7"/>
    </row>
    <row r="300">
      <c r="E300" s="62"/>
      <c r="F300" s="7"/>
      <c r="G300" s="7"/>
      <c r="I300" s="7"/>
      <c r="K300" s="62"/>
      <c r="L300" s="7"/>
      <c r="M300" s="7"/>
      <c r="O300" s="7"/>
      <c r="Q300" s="7"/>
      <c r="S300" s="7"/>
      <c r="U300" s="7"/>
      <c r="W300" s="7"/>
    </row>
    <row r="301">
      <c r="E301" s="62"/>
      <c r="F301" s="7"/>
      <c r="G301" s="7"/>
      <c r="I301" s="7"/>
      <c r="K301" s="62"/>
      <c r="L301" s="7"/>
      <c r="M301" s="7"/>
      <c r="O301" s="7"/>
      <c r="Q301" s="7"/>
      <c r="S301" s="7"/>
      <c r="U301" s="7"/>
      <c r="W301" s="7"/>
    </row>
    <row r="302">
      <c r="E302" s="62"/>
      <c r="F302" s="7"/>
      <c r="G302" s="7"/>
      <c r="I302" s="7"/>
      <c r="K302" s="62"/>
      <c r="L302" s="7"/>
      <c r="M302" s="7"/>
      <c r="O302" s="7"/>
      <c r="Q302" s="7"/>
      <c r="S302" s="7"/>
      <c r="U302" s="7"/>
      <c r="W302" s="7"/>
    </row>
    <row r="303">
      <c r="E303" s="62"/>
      <c r="F303" s="7"/>
      <c r="G303" s="7"/>
      <c r="I303" s="7"/>
      <c r="K303" s="62"/>
      <c r="L303" s="7"/>
      <c r="M303" s="7"/>
      <c r="O303" s="7"/>
      <c r="Q303" s="7"/>
      <c r="S303" s="7"/>
      <c r="U303" s="7"/>
      <c r="W303" s="7"/>
    </row>
    <row r="304">
      <c r="E304" s="62"/>
      <c r="F304" s="7"/>
      <c r="G304" s="7"/>
      <c r="I304" s="7"/>
      <c r="K304" s="62"/>
      <c r="L304" s="7"/>
      <c r="M304" s="7"/>
      <c r="O304" s="7"/>
      <c r="Q304" s="7"/>
      <c r="S304" s="7"/>
      <c r="U304" s="7"/>
      <c r="W304" s="7"/>
    </row>
    <row r="305">
      <c r="E305" s="62"/>
      <c r="F305" s="7"/>
      <c r="G305" s="7"/>
      <c r="I305" s="7"/>
      <c r="K305" s="62"/>
      <c r="L305" s="7"/>
      <c r="M305" s="7"/>
      <c r="O305" s="7"/>
      <c r="Q305" s="7"/>
      <c r="S305" s="7"/>
      <c r="U305" s="7"/>
      <c r="W305" s="7"/>
    </row>
    <row r="306">
      <c r="E306" s="62"/>
      <c r="F306" s="7"/>
      <c r="G306" s="7"/>
      <c r="I306" s="7"/>
      <c r="K306" s="62"/>
      <c r="L306" s="7"/>
      <c r="M306" s="7"/>
      <c r="O306" s="7"/>
      <c r="Q306" s="7"/>
      <c r="S306" s="7"/>
      <c r="U306" s="7"/>
      <c r="W306" s="7"/>
    </row>
    <row r="307">
      <c r="E307" s="62"/>
      <c r="F307" s="7"/>
      <c r="G307" s="7"/>
      <c r="I307" s="7"/>
      <c r="K307" s="62"/>
      <c r="L307" s="7"/>
      <c r="M307" s="7"/>
      <c r="O307" s="7"/>
      <c r="Q307" s="7"/>
      <c r="S307" s="7"/>
      <c r="U307" s="7"/>
      <c r="W307" s="7"/>
    </row>
    <row r="308">
      <c r="E308" s="62"/>
      <c r="F308" s="7"/>
      <c r="G308" s="7"/>
      <c r="I308" s="7"/>
      <c r="K308" s="62"/>
      <c r="L308" s="7"/>
      <c r="M308" s="7"/>
      <c r="O308" s="7"/>
      <c r="Q308" s="7"/>
      <c r="S308" s="7"/>
      <c r="U308" s="7"/>
      <c r="W308" s="7"/>
    </row>
    <row r="309">
      <c r="E309" s="62"/>
      <c r="F309" s="7"/>
      <c r="G309" s="7"/>
      <c r="I309" s="7"/>
      <c r="K309" s="62"/>
      <c r="L309" s="7"/>
      <c r="M309" s="7"/>
      <c r="O309" s="7"/>
      <c r="Q309" s="7"/>
      <c r="S309" s="7"/>
      <c r="U309" s="7"/>
      <c r="W309" s="7"/>
    </row>
    <row r="310">
      <c r="E310" s="62"/>
      <c r="F310" s="7"/>
      <c r="G310" s="7"/>
      <c r="I310" s="7"/>
      <c r="K310" s="62"/>
      <c r="L310" s="7"/>
      <c r="M310" s="7"/>
      <c r="O310" s="7"/>
      <c r="Q310" s="7"/>
      <c r="S310" s="7"/>
      <c r="U310" s="7"/>
      <c r="W310" s="7"/>
    </row>
    <row r="311">
      <c r="E311" s="62"/>
      <c r="F311" s="7"/>
      <c r="G311" s="7"/>
      <c r="I311" s="7"/>
      <c r="K311" s="62"/>
      <c r="L311" s="7"/>
      <c r="M311" s="7"/>
      <c r="O311" s="7"/>
      <c r="Q311" s="7"/>
      <c r="S311" s="7"/>
      <c r="U311" s="7"/>
      <c r="W311" s="7"/>
    </row>
    <row r="312">
      <c r="E312" s="62"/>
      <c r="F312" s="7"/>
      <c r="G312" s="7"/>
      <c r="I312" s="7"/>
      <c r="K312" s="62"/>
      <c r="L312" s="7"/>
      <c r="M312" s="7"/>
      <c r="O312" s="7"/>
      <c r="Q312" s="7"/>
      <c r="S312" s="7"/>
      <c r="U312" s="7"/>
      <c r="W312" s="7"/>
    </row>
    <row r="313">
      <c r="E313" s="62"/>
      <c r="F313" s="7"/>
      <c r="G313" s="7"/>
      <c r="I313" s="7"/>
      <c r="K313" s="62"/>
      <c r="L313" s="7"/>
      <c r="M313" s="7"/>
      <c r="O313" s="7"/>
      <c r="Q313" s="7"/>
      <c r="S313" s="7"/>
      <c r="U313" s="7"/>
      <c r="W313" s="7"/>
    </row>
    <row r="314">
      <c r="E314" s="62"/>
      <c r="F314" s="7"/>
      <c r="G314" s="7"/>
      <c r="I314" s="7"/>
      <c r="K314" s="62"/>
      <c r="L314" s="7"/>
      <c r="M314" s="7"/>
      <c r="O314" s="7"/>
      <c r="Q314" s="7"/>
      <c r="S314" s="7"/>
      <c r="U314" s="7"/>
      <c r="W314" s="7"/>
    </row>
    <row r="315">
      <c r="E315" s="62"/>
      <c r="F315" s="7"/>
      <c r="G315" s="7"/>
      <c r="I315" s="7"/>
      <c r="K315" s="62"/>
      <c r="L315" s="7"/>
      <c r="M315" s="7"/>
      <c r="O315" s="7"/>
      <c r="Q315" s="7"/>
      <c r="S315" s="7"/>
      <c r="U315" s="7"/>
      <c r="W315" s="7"/>
    </row>
    <row r="316">
      <c r="E316" s="62"/>
      <c r="F316" s="7"/>
      <c r="G316" s="7"/>
      <c r="I316" s="7"/>
      <c r="K316" s="62"/>
      <c r="L316" s="7"/>
      <c r="M316" s="7"/>
      <c r="O316" s="7"/>
      <c r="Q316" s="7"/>
      <c r="S316" s="7"/>
      <c r="U316" s="7"/>
      <c r="W316" s="7"/>
    </row>
    <row r="317">
      <c r="E317" s="62"/>
      <c r="F317" s="7"/>
      <c r="G317" s="7"/>
      <c r="I317" s="7"/>
      <c r="K317" s="62"/>
      <c r="L317" s="7"/>
      <c r="M317" s="7"/>
      <c r="O317" s="7"/>
      <c r="Q317" s="7"/>
      <c r="S317" s="7"/>
      <c r="U317" s="7"/>
      <c r="W317" s="7"/>
    </row>
    <row r="318">
      <c r="E318" s="62"/>
      <c r="F318" s="7"/>
      <c r="G318" s="7"/>
      <c r="I318" s="7"/>
      <c r="K318" s="62"/>
      <c r="L318" s="7"/>
      <c r="M318" s="7"/>
      <c r="O318" s="7"/>
      <c r="Q318" s="7"/>
      <c r="S318" s="7"/>
      <c r="U318" s="7"/>
      <c r="W318" s="7"/>
    </row>
    <row r="319">
      <c r="E319" s="62"/>
      <c r="F319" s="7"/>
      <c r="G319" s="7"/>
      <c r="I319" s="7"/>
      <c r="K319" s="62"/>
      <c r="L319" s="7"/>
      <c r="M319" s="7"/>
      <c r="O319" s="7"/>
      <c r="Q319" s="7"/>
      <c r="S319" s="7"/>
      <c r="U319" s="7"/>
      <c r="W319" s="7"/>
    </row>
    <row r="320">
      <c r="E320" s="62"/>
      <c r="F320" s="7"/>
      <c r="G320" s="7"/>
      <c r="I320" s="7"/>
      <c r="K320" s="62"/>
      <c r="L320" s="7"/>
      <c r="M320" s="7"/>
      <c r="O320" s="7"/>
      <c r="Q320" s="7"/>
      <c r="S320" s="7"/>
      <c r="U320" s="7"/>
      <c r="W320" s="7"/>
    </row>
    <row r="321">
      <c r="E321" s="62"/>
      <c r="F321" s="7"/>
      <c r="G321" s="7"/>
      <c r="I321" s="7"/>
      <c r="K321" s="62"/>
      <c r="L321" s="7"/>
      <c r="M321" s="7"/>
      <c r="O321" s="7"/>
      <c r="Q321" s="7"/>
      <c r="S321" s="7"/>
      <c r="U321" s="7"/>
      <c r="W321" s="7"/>
    </row>
    <row r="322">
      <c r="E322" s="62"/>
      <c r="F322" s="7"/>
      <c r="G322" s="7"/>
      <c r="I322" s="7"/>
      <c r="K322" s="62"/>
      <c r="L322" s="7"/>
      <c r="M322" s="7"/>
      <c r="O322" s="7"/>
      <c r="Q322" s="7"/>
      <c r="S322" s="7"/>
      <c r="U322" s="7"/>
      <c r="W322" s="7"/>
    </row>
    <row r="323">
      <c r="E323" s="62"/>
      <c r="F323" s="7"/>
      <c r="G323" s="7"/>
      <c r="I323" s="7"/>
      <c r="K323" s="62"/>
      <c r="L323" s="7"/>
      <c r="M323" s="7"/>
      <c r="O323" s="7"/>
      <c r="Q323" s="7"/>
      <c r="S323" s="7"/>
      <c r="U323" s="7"/>
      <c r="W323" s="7"/>
    </row>
    <row r="324">
      <c r="E324" s="62"/>
      <c r="F324" s="7"/>
      <c r="G324" s="7"/>
      <c r="I324" s="7"/>
      <c r="K324" s="62"/>
      <c r="L324" s="7"/>
      <c r="M324" s="7"/>
      <c r="O324" s="7"/>
      <c r="Q324" s="7"/>
      <c r="S324" s="7"/>
      <c r="U324" s="7"/>
      <c r="W324" s="7"/>
    </row>
    <row r="325">
      <c r="E325" s="62"/>
      <c r="F325" s="7"/>
      <c r="G325" s="7"/>
      <c r="I325" s="7"/>
      <c r="K325" s="62"/>
      <c r="L325" s="7"/>
      <c r="M325" s="7"/>
      <c r="O325" s="7"/>
      <c r="Q325" s="7"/>
      <c r="S325" s="7"/>
      <c r="U325" s="7"/>
      <c r="W325" s="7"/>
    </row>
    <row r="326">
      <c r="E326" s="62"/>
      <c r="F326" s="7"/>
      <c r="G326" s="7"/>
      <c r="I326" s="7"/>
      <c r="K326" s="62"/>
      <c r="L326" s="7"/>
      <c r="M326" s="7"/>
      <c r="O326" s="7"/>
      <c r="Q326" s="7"/>
      <c r="S326" s="7"/>
      <c r="U326" s="7"/>
      <c r="W326" s="7"/>
    </row>
    <row r="327">
      <c r="E327" s="62"/>
      <c r="F327" s="7"/>
      <c r="G327" s="7"/>
      <c r="I327" s="7"/>
      <c r="K327" s="62"/>
      <c r="L327" s="7"/>
      <c r="M327" s="7"/>
      <c r="O327" s="7"/>
      <c r="Q327" s="7"/>
      <c r="S327" s="7"/>
      <c r="U327" s="7"/>
      <c r="W327" s="7"/>
    </row>
    <row r="328">
      <c r="E328" s="62"/>
      <c r="F328" s="7"/>
      <c r="G328" s="7"/>
      <c r="I328" s="7"/>
      <c r="K328" s="62"/>
      <c r="L328" s="7"/>
      <c r="M328" s="7"/>
      <c r="O328" s="7"/>
      <c r="Q328" s="7"/>
      <c r="S328" s="7"/>
      <c r="U328" s="7"/>
      <c r="W328" s="7"/>
    </row>
    <row r="329">
      <c r="E329" s="62"/>
      <c r="F329" s="7"/>
      <c r="G329" s="7"/>
      <c r="I329" s="7"/>
      <c r="K329" s="62"/>
      <c r="L329" s="7"/>
      <c r="M329" s="7"/>
      <c r="O329" s="7"/>
      <c r="Q329" s="7"/>
      <c r="S329" s="7"/>
      <c r="U329" s="7"/>
      <c r="W329" s="7"/>
    </row>
    <row r="330">
      <c r="E330" s="62"/>
      <c r="F330" s="7"/>
      <c r="G330" s="7"/>
      <c r="I330" s="7"/>
      <c r="K330" s="62"/>
      <c r="L330" s="7"/>
      <c r="M330" s="7"/>
      <c r="O330" s="7"/>
      <c r="Q330" s="7"/>
      <c r="S330" s="7"/>
      <c r="U330" s="7"/>
      <c r="W330" s="7"/>
    </row>
    <row r="331">
      <c r="E331" s="62"/>
      <c r="F331" s="7"/>
      <c r="G331" s="7"/>
      <c r="I331" s="7"/>
      <c r="K331" s="62"/>
      <c r="L331" s="7"/>
      <c r="M331" s="7"/>
      <c r="O331" s="7"/>
      <c r="Q331" s="7"/>
      <c r="S331" s="7"/>
      <c r="U331" s="7"/>
      <c r="W331" s="7"/>
    </row>
    <row r="332">
      <c r="E332" s="62"/>
      <c r="F332" s="7"/>
      <c r="G332" s="7"/>
      <c r="I332" s="7"/>
      <c r="K332" s="62"/>
      <c r="L332" s="7"/>
      <c r="M332" s="7"/>
      <c r="O332" s="7"/>
      <c r="Q332" s="7"/>
      <c r="S332" s="7"/>
      <c r="U332" s="7"/>
      <c r="W332" s="7"/>
    </row>
    <row r="333">
      <c r="E333" s="62"/>
      <c r="F333" s="7"/>
      <c r="G333" s="7"/>
      <c r="I333" s="7"/>
      <c r="K333" s="62"/>
      <c r="L333" s="7"/>
      <c r="M333" s="7"/>
      <c r="O333" s="7"/>
      <c r="Q333" s="7"/>
      <c r="S333" s="7"/>
      <c r="U333" s="7"/>
      <c r="W333" s="7"/>
    </row>
    <row r="334">
      <c r="E334" s="62"/>
      <c r="F334" s="7"/>
      <c r="G334" s="7"/>
      <c r="I334" s="7"/>
      <c r="K334" s="62"/>
      <c r="L334" s="7"/>
      <c r="M334" s="7"/>
      <c r="O334" s="7"/>
      <c r="Q334" s="7"/>
      <c r="S334" s="7"/>
      <c r="U334" s="7"/>
      <c r="W334" s="7"/>
    </row>
    <row r="335">
      <c r="E335" s="62"/>
      <c r="F335" s="7"/>
      <c r="G335" s="7"/>
      <c r="I335" s="7"/>
      <c r="K335" s="62"/>
      <c r="L335" s="7"/>
      <c r="M335" s="7"/>
      <c r="O335" s="7"/>
      <c r="Q335" s="7"/>
      <c r="S335" s="7"/>
      <c r="U335" s="7"/>
      <c r="W335" s="7"/>
    </row>
    <row r="336">
      <c r="E336" s="62"/>
      <c r="F336" s="7"/>
      <c r="G336" s="7"/>
      <c r="I336" s="7"/>
      <c r="K336" s="62"/>
      <c r="L336" s="7"/>
      <c r="M336" s="7"/>
      <c r="O336" s="7"/>
      <c r="Q336" s="7"/>
      <c r="S336" s="7"/>
      <c r="U336" s="7"/>
      <c r="W336" s="7"/>
    </row>
    <row r="337">
      <c r="E337" s="62"/>
      <c r="F337" s="7"/>
      <c r="G337" s="7"/>
      <c r="I337" s="7"/>
      <c r="K337" s="62"/>
      <c r="L337" s="7"/>
      <c r="M337" s="7"/>
      <c r="O337" s="7"/>
      <c r="Q337" s="7"/>
      <c r="S337" s="7"/>
      <c r="U337" s="7"/>
      <c r="W337" s="7"/>
    </row>
    <row r="338">
      <c r="E338" s="62"/>
      <c r="F338" s="7"/>
      <c r="G338" s="7"/>
      <c r="I338" s="7"/>
      <c r="K338" s="62"/>
      <c r="L338" s="7"/>
      <c r="M338" s="7"/>
      <c r="O338" s="7"/>
      <c r="Q338" s="7"/>
      <c r="S338" s="7"/>
      <c r="U338" s="7"/>
      <c r="W338" s="7"/>
    </row>
    <row r="339">
      <c r="E339" s="62"/>
      <c r="F339" s="7"/>
      <c r="G339" s="7"/>
      <c r="I339" s="7"/>
      <c r="K339" s="62"/>
      <c r="L339" s="7"/>
      <c r="M339" s="7"/>
      <c r="O339" s="7"/>
      <c r="Q339" s="7"/>
      <c r="S339" s="7"/>
      <c r="U339" s="7"/>
      <c r="W339" s="7"/>
    </row>
    <row r="340">
      <c r="E340" s="62"/>
      <c r="F340" s="7"/>
      <c r="G340" s="7"/>
      <c r="I340" s="7"/>
      <c r="K340" s="62"/>
      <c r="L340" s="7"/>
      <c r="M340" s="7"/>
      <c r="O340" s="7"/>
      <c r="Q340" s="7"/>
      <c r="S340" s="7"/>
      <c r="U340" s="7"/>
      <c r="W340" s="7"/>
    </row>
    <row r="341">
      <c r="E341" s="62"/>
      <c r="F341" s="7"/>
      <c r="G341" s="7"/>
      <c r="I341" s="7"/>
      <c r="K341" s="62"/>
      <c r="L341" s="7"/>
      <c r="M341" s="7"/>
      <c r="O341" s="7"/>
      <c r="Q341" s="7"/>
      <c r="S341" s="7"/>
      <c r="U341" s="7"/>
      <c r="W341" s="7"/>
    </row>
    <row r="342">
      <c r="E342" s="62"/>
      <c r="F342" s="7"/>
      <c r="G342" s="7"/>
      <c r="I342" s="7"/>
      <c r="K342" s="62"/>
      <c r="L342" s="7"/>
      <c r="M342" s="7"/>
      <c r="O342" s="7"/>
      <c r="Q342" s="7"/>
      <c r="S342" s="7"/>
      <c r="U342" s="7"/>
      <c r="W342" s="7"/>
    </row>
    <row r="343">
      <c r="E343" s="62"/>
      <c r="F343" s="7"/>
      <c r="G343" s="7"/>
      <c r="I343" s="7"/>
      <c r="K343" s="62"/>
      <c r="L343" s="7"/>
      <c r="M343" s="7"/>
      <c r="O343" s="7"/>
      <c r="Q343" s="7"/>
      <c r="S343" s="7"/>
      <c r="U343" s="7"/>
      <c r="W343" s="7"/>
    </row>
    <row r="344">
      <c r="E344" s="62"/>
      <c r="F344" s="7"/>
      <c r="G344" s="7"/>
      <c r="I344" s="7"/>
      <c r="K344" s="62"/>
      <c r="L344" s="7"/>
      <c r="M344" s="7"/>
      <c r="O344" s="7"/>
      <c r="Q344" s="7"/>
      <c r="S344" s="7"/>
      <c r="U344" s="7"/>
      <c r="W344" s="7"/>
    </row>
    <row r="345">
      <c r="E345" s="62"/>
      <c r="F345" s="7"/>
      <c r="G345" s="7"/>
      <c r="I345" s="7"/>
      <c r="K345" s="62"/>
      <c r="L345" s="7"/>
      <c r="M345" s="7"/>
      <c r="O345" s="7"/>
      <c r="Q345" s="7"/>
      <c r="S345" s="7"/>
      <c r="U345" s="7"/>
      <c r="W345" s="7"/>
    </row>
    <row r="346">
      <c r="E346" s="62"/>
      <c r="F346" s="7"/>
      <c r="G346" s="7"/>
      <c r="I346" s="7"/>
      <c r="K346" s="62"/>
      <c r="L346" s="7"/>
      <c r="M346" s="7"/>
      <c r="O346" s="7"/>
      <c r="Q346" s="7"/>
      <c r="S346" s="7"/>
      <c r="U346" s="7"/>
      <c r="W346" s="7"/>
    </row>
    <row r="347">
      <c r="E347" s="62"/>
      <c r="F347" s="7"/>
      <c r="G347" s="7"/>
      <c r="I347" s="7"/>
      <c r="K347" s="62"/>
      <c r="L347" s="7"/>
      <c r="M347" s="7"/>
      <c r="O347" s="7"/>
      <c r="Q347" s="7"/>
      <c r="S347" s="7"/>
      <c r="U347" s="7"/>
      <c r="W347" s="7"/>
    </row>
    <row r="348">
      <c r="E348" s="62"/>
      <c r="F348" s="7"/>
      <c r="G348" s="7"/>
      <c r="I348" s="7"/>
      <c r="K348" s="62"/>
      <c r="L348" s="7"/>
      <c r="M348" s="7"/>
      <c r="O348" s="7"/>
      <c r="Q348" s="7"/>
      <c r="S348" s="7"/>
      <c r="U348" s="7"/>
      <c r="W348" s="7"/>
    </row>
    <row r="349">
      <c r="E349" s="62"/>
      <c r="F349" s="7"/>
      <c r="G349" s="7"/>
      <c r="I349" s="7"/>
      <c r="K349" s="62"/>
      <c r="L349" s="7"/>
      <c r="M349" s="7"/>
      <c r="O349" s="7"/>
      <c r="Q349" s="7"/>
      <c r="S349" s="7"/>
      <c r="U349" s="7"/>
      <c r="W349" s="7"/>
    </row>
    <row r="350">
      <c r="E350" s="62"/>
      <c r="F350" s="7"/>
      <c r="G350" s="7"/>
      <c r="I350" s="7"/>
      <c r="K350" s="62"/>
      <c r="L350" s="7"/>
      <c r="M350" s="7"/>
      <c r="O350" s="7"/>
      <c r="Q350" s="7"/>
      <c r="S350" s="7"/>
      <c r="U350" s="7"/>
      <c r="W350" s="7"/>
    </row>
    <row r="351">
      <c r="E351" s="62"/>
      <c r="F351" s="7"/>
      <c r="G351" s="7"/>
      <c r="I351" s="7"/>
      <c r="K351" s="62"/>
      <c r="L351" s="7"/>
      <c r="M351" s="7"/>
      <c r="O351" s="7"/>
      <c r="Q351" s="7"/>
      <c r="S351" s="7"/>
      <c r="U351" s="7"/>
      <c r="W351" s="7"/>
    </row>
    <row r="352">
      <c r="E352" s="62"/>
      <c r="F352" s="7"/>
      <c r="G352" s="7"/>
      <c r="I352" s="7"/>
      <c r="K352" s="62"/>
      <c r="L352" s="7"/>
      <c r="M352" s="7"/>
      <c r="O352" s="7"/>
      <c r="Q352" s="7"/>
      <c r="S352" s="7"/>
      <c r="U352" s="7"/>
      <c r="W352" s="7"/>
    </row>
    <row r="353">
      <c r="E353" s="62"/>
      <c r="F353" s="7"/>
      <c r="G353" s="7"/>
      <c r="I353" s="7"/>
      <c r="K353" s="62"/>
      <c r="L353" s="7"/>
      <c r="M353" s="7"/>
      <c r="O353" s="7"/>
      <c r="Q353" s="7"/>
      <c r="S353" s="7"/>
      <c r="U353" s="7"/>
      <c r="W353" s="7"/>
    </row>
    <row r="354">
      <c r="E354" s="62"/>
      <c r="F354" s="7"/>
      <c r="G354" s="7"/>
      <c r="I354" s="7"/>
      <c r="K354" s="62"/>
      <c r="L354" s="7"/>
      <c r="M354" s="7"/>
      <c r="O354" s="7"/>
      <c r="Q354" s="7"/>
      <c r="S354" s="7"/>
      <c r="U354" s="7"/>
      <c r="W354" s="7"/>
    </row>
    <row r="355">
      <c r="E355" s="62"/>
      <c r="F355" s="7"/>
      <c r="G355" s="7"/>
      <c r="I355" s="7"/>
      <c r="K355" s="62"/>
      <c r="L355" s="7"/>
      <c r="M355" s="7"/>
      <c r="O355" s="7"/>
      <c r="Q355" s="7"/>
      <c r="S355" s="7"/>
      <c r="U355" s="7"/>
      <c r="W355" s="7"/>
    </row>
    <row r="356">
      <c r="E356" s="62"/>
      <c r="F356" s="7"/>
      <c r="G356" s="7"/>
      <c r="I356" s="7"/>
      <c r="K356" s="62"/>
      <c r="L356" s="7"/>
      <c r="M356" s="7"/>
      <c r="O356" s="7"/>
      <c r="Q356" s="7"/>
      <c r="S356" s="7"/>
      <c r="U356" s="7"/>
      <c r="W356" s="7"/>
    </row>
    <row r="357">
      <c r="E357" s="62"/>
      <c r="F357" s="7"/>
      <c r="G357" s="7"/>
      <c r="I357" s="7"/>
      <c r="K357" s="62"/>
      <c r="L357" s="7"/>
      <c r="M357" s="7"/>
      <c r="O357" s="7"/>
      <c r="Q357" s="7"/>
      <c r="S357" s="7"/>
      <c r="U357" s="7"/>
      <c r="W357" s="7"/>
    </row>
    <row r="358">
      <c r="E358" s="62"/>
      <c r="F358" s="7"/>
      <c r="G358" s="7"/>
      <c r="I358" s="7"/>
      <c r="K358" s="62"/>
      <c r="L358" s="7"/>
      <c r="M358" s="7"/>
      <c r="O358" s="7"/>
      <c r="Q358" s="7"/>
      <c r="S358" s="7"/>
      <c r="U358" s="7"/>
      <c r="W358" s="7"/>
    </row>
    <row r="359">
      <c r="E359" s="62"/>
      <c r="F359" s="7"/>
      <c r="G359" s="7"/>
      <c r="I359" s="7"/>
      <c r="K359" s="62"/>
      <c r="L359" s="7"/>
      <c r="M359" s="7"/>
      <c r="O359" s="7"/>
      <c r="Q359" s="7"/>
      <c r="S359" s="7"/>
      <c r="U359" s="7"/>
      <c r="W359" s="7"/>
    </row>
    <row r="360">
      <c r="E360" s="62"/>
      <c r="F360" s="7"/>
      <c r="G360" s="7"/>
      <c r="I360" s="7"/>
      <c r="K360" s="62"/>
      <c r="L360" s="7"/>
      <c r="M360" s="7"/>
      <c r="O360" s="7"/>
      <c r="Q360" s="7"/>
      <c r="S360" s="7"/>
      <c r="U360" s="7"/>
      <c r="W360" s="7"/>
    </row>
    <row r="361">
      <c r="E361" s="62"/>
      <c r="F361" s="7"/>
      <c r="G361" s="7"/>
      <c r="I361" s="7"/>
      <c r="K361" s="62"/>
      <c r="L361" s="7"/>
      <c r="M361" s="7"/>
      <c r="O361" s="7"/>
      <c r="Q361" s="7"/>
      <c r="S361" s="7"/>
      <c r="U361" s="7"/>
      <c r="W361" s="7"/>
    </row>
    <row r="362">
      <c r="E362" s="62"/>
      <c r="F362" s="7"/>
      <c r="G362" s="7"/>
      <c r="I362" s="7"/>
      <c r="K362" s="62"/>
      <c r="L362" s="7"/>
      <c r="M362" s="7"/>
      <c r="O362" s="7"/>
      <c r="Q362" s="7"/>
      <c r="S362" s="7"/>
      <c r="U362" s="7"/>
      <c r="W362" s="7"/>
    </row>
    <row r="363">
      <c r="E363" s="62"/>
      <c r="F363" s="7"/>
      <c r="G363" s="7"/>
      <c r="I363" s="7"/>
      <c r="K363" s="62"/>
      <c r="L363" s="7"/>
      <c r="M363" s="7"/>
      <c r="O363" s="7"/>
      <c r="Q363" s="7"/>
      <c r="S363" s="7"/>
      <c r="U363" s="7"/>
      <c r="W363" s="7"/>
    </row>
    <row r="364">
      <c r="E364" s="62"/>
      <c r="F364" s="7"/>
      <c r="G364" s="7"/>
      <c r="I364" s="7"/>
      <c r="K364" s="62"/>
      <c r="L364" s="7"/>
      <c r="M364" s="7"/>
      <c r="O364" s="7"/>
      <c r="Q364" s="7"/>
      <c r="S364" s="7"/>
      <c r="U364" s="7"/>
      <c r="W364" s="7"/>
    </row>
    <row r="365">
      <c r="E365" s="62"/>
      <c r="F365" s="7"/>
      <c r="G365" s="7"/>
      <c r="I365" s="7"/>
      <c r="K365" s="62"/>
      <c r="L365" s="7"/>
      <c r="M365" s="7"/>
      <c r="O365" s="7"/>
      <c r="Q365" s="7"/>
      <c r="S365" s="7"/>
      <c r="U365" s="7"/>
      <c r="W365" s="7"/>
    </row>
    <row r="366">
      <c r="E366" s="62"/>
      <c r="F366" s="7"/>
      <c r="G366" s="7"/>
      <c r="I366" s="7"/>
      <c r="K366" s="62"/>
      <c r="L366" s="7"/>
      <c r="M366" s="7"/>
      <c r="O366" s="7"/>
      <c r="Q366" s="7"/>
      <c r="S366" s="7"/>
      <c r="U366" s="7"/>
      <c r="W366" s="7"/>
    </row>
    <row r="367">
      <c r="E367" s="62"/>
      <c r="F367" s="7"/>
      <c r="G367" s="7"/>
      <c r="I367" s="7"/>
      <c r="K367" s="62"/>
      <c r="L367" s="7"/>
      <c r="M367" s="7"/>
      <c r="O367" s="7"/>
      <c r="Q367" s="7"/>
      <c r="S367" s="7"/>
      <c r="U367" s="7"/>
      <c r="W367" s="7"/>
    </row>
    <row r="368">
      <c r="E368" s="62"/>
      <c r="F368" s="7"/>
      <c r="G368" s="7"/>
      <c r="I368" s="7"/>
      <c r="K368" s="62"/>
      <c r="L368" s="7"/>
      <c r="M368" s="7"/>
      <c r="O368" s="7"/>
      <c r="Q368" s="7"/>
      <c r="S368" s="7"/>
      <c r="U368" s="7"/>
      <c r="W368" s="7"/>
    </row>
    <row r="369">
      <c r="E369" s="62"/>
      <c r="F369" s="7"/>
      <c r="G369" s="7"/>
      <c r="I369" s="7"/>
      <c r="K369" s="62"/>
      <c r="L369" s="7"/>
      <c r="M369" s="7"/>
      <c r="O369" s="7"/>
      <c r="Q369" s="7"/>
      <c r="S369" s="7"/>
      <c r="U369" s="7"/>
      <c r="W369" s="7"/>
    </row>
    <row r="370">
      <c r="E370" s="62"/>
      <c r="F370" s="7"/>
      <c r="G370" s="7"/>
      <c r="I370" s="7"/>
      <c r="K370" s="62"/>
      <c r="L370" s="7"/>
      <c r="M370" s="7"/>
      <c r="O370" s="7"/>
      <c r="Q370" s="7"/>
      <c r="S370" s="7"/>
      <c r="U370" s="7"/>
      <c r="W370" s="7"/>
    </row>
    <row r="371">
      <c r="E371" s="62"/>
      <c r="F371" s="7"/>
      <c r="G371" s="7"/>
      <c r="I371" s="7"/>
      <c r="K371" s="62"/>
      <c r="L371" s="7"/>
      <c r="M371" s="7"/>
      <c r="O371" s="7"/>
      <c r="Q371" s="7"/>
      <c r="S371" s="7"/>
      <c r="U371" s="7"/>
      <c r="W371" s="7"/>
    </row>
    <row r="372">
      <c r="E372" s="62"/>
      <c r="F372" s="7"/>
      <c r="G372" s="7"/>
      <c r="I372" s="7"/>
      <c r="K372" s="62"/>
      <c r="L372" s="7"/>
      <c r="M372" s="7"/>
      <c r="O372" s="7"/>
      <c r="Q372" s="7"/>
      <c r="S372" s="7"/>
      <c r="U372" s="7"/>
      <c r="W372" s="7"/>
    </row>
    <row r="373">
      <c r="E373" s="62"/>
      <c r="F373" s="7"/>
      <c r="G373" s="7"/>
      <c r="I373" s="7"/>
      <c r="K373" s="62"/>
      <c r="L373" s="7"/>
      <c r="M373" s="7"/>
      <c r="O373" s="7"/>
      <c r="Q373" s="7"/>
      <c r="S373" s="7"/>
      <c r="U373" s="7"/>
      <c r="W373" s="7"/>
    </row>
    <row r="374">
      <c r="E374" s="62"/>
      <c r="F374" s="7"/>
      <c r="G374" s="7"/>
      <c r="I374" s="7"/>
      <c r="K374" s="62"/>
      <c r="L374" s="7"/>
      <c r="M374" s="7"/>
      <c r="O374" s="7"/>
      <c r="Q374" s="7"/>
      <c r="S374" s="7"/>
      <c r="U374" s="7"/>
      <c r="W374" s="7"/>
    </row>
    <row r="375">
      <c r="E375" s="62"/>
      <c r="F375" s="7"/>
      <c r="G375" s="7"/>
      <c r="I375" s="7"/>
      <c r="K375" s="62"/>
      <c r="L375" s="7"/>
      <c r="M375" s="7"/>
      <c r="O375" s="7"/>
      <c r="Q375" s="7"/>
      <c r="S375" s="7"/>
      <c r="U375" s="7"/>
      <c r="W375" s="7"/>
    </row>
    <row r="376">
      <c r="E376" s="62"/>
      <c r="F376" s="7"/>
      <c r="G376" s="7"/>
      <c r="I376" s="7"/>
      <c r="K376" s="62"/>
      <c r="L376" s="7"/>
      <c r="M376" s="7"/>
      <c r="O376" s="7"/>
      <c r="Q376" s="7"/>
      <c r="S376" s="7"/>
      <c r="U376" s="7"/>
      <c r="W376" s="7"/>
    </row>
    <row r="377">
      <c r="E377" s="62"/>
      <c r="F377" s="7"/>
      <c r="G377" s="7"/>
      <c r="I377" s="7"/>
      <c r="K377" s="62"/>
      <c r="L377" s="7"/>
      <c r="M377" s="7"/>
      <c r="O377" s="7"/>
      <c r="Q377" s="7"/>
      <c r="S377" s="7"/>
      <c r="U377" s="7"/>
      <c r="W377" s="7"/>
    </row>
    <row r="378">
      <c r="E378" s="62"/>
      <c r="F378" s="7"/>
      <c r="G378" s="7"/>
      <c r="I378" s="7"/>
      <c r="K378" s="62"/>
      <c r="L378" s="7"/>
      <c r="M378" s="7"/>
      <c r="O378" s="7"/>
      <c r="Q378" s="7"/>
      <c r="S378" s="7"/>
      <c r="U378" s="7"/>
      <c r="W378" s="7"/>
    </row>
    <row r="379">
      <c r="E379" s="62"/>
      <c r="F379" s="7"/>
      <c r="G379" s="7"/>
      <c r="I379" s="7"/>
      <c r="K379" s="62"/>
      <c r="L379" s="7"/>
      <c r="M379" s="7"/>
      <c r="O379" s="7"/>
      <c r="Q379" s="7"/>
      <c r="S379" s="7"/>
      <c r="U379" s="7"/>
      <c r="W379" s="7"/>
    </row>
    <row r="380">
      <c r="E380" s="62"/>
      <c r="F380" s="7"/>
      <c r="G380" s="7"/>
      <c r="I380" s="7"/>
      <c r="K380" s="62"/>
      <c r="L380" s="7"/>
      <c r="M380" s="7"/>
      <c r="O380" s="7"/>
      <c r="Q380" s="7"/>
      <c r="S380" s="7"/>
      <c r="U380" s="7"/>
      <c r="W380" s="7"/>
    </row>
    <row r="381">
      <c r="E381" s="62"/>
      <c r="F381" s="7"/>
      <c r="G381" s="7"/>
      <c r="I381" s="7"/>
      <c r="K381" s="62"/>
      <c r="L381" s="7"/>
      <c r="M381" s="7"/>
      <c r="O381" s="7"/>
      <c r="Q381" s="7"/>
      <c r="S381" s="7"/>
      <c r="U381" s="7"/>
      <c r="W381" s="7"/>
    </row>
    <row r="382">
      <c r="E382" s="62"/>
      <c r="F382" s="7"/>
      <c r="G382" s="7"/>
      <c r="I382" s="7"/>
      <c r="K382" s="62"/>
      <c r="L382" s="7"/>
      <c r="M382" s="7"/>
      <c r="O382" s="7"/>
      <c r="Q382" s="7"/>
      <c r="S382" s="7"/>
      <c r="U382" s="7"/>
      <c r="W382" s="7"/>
    </row>
    <row r="383">
      <c r="E383" s="62"/>
      <c r="F383" s="7"/>
      <c r="G383" s="7"/>
      <c r="I383" s="7"/>
      <c r="K383" s="62"/>
      <c r="L383" s="7"/>
      <c r="M383" s="7"/>
      <c r="O383" s="7"/>
      <c r="Q383" s="7"/>
      <c r="S383" s="7"/>
      <c r="U383" s="7"/>
      <c r="W383" s="7"/>
    </row>
    <row r="384">
      <c r="E384" s="62"/>
      <c r="F384" s="7"/>
      <c r="G384" s="7"/>
      <c r="I384" s="7"/>
      <c r="K384" s="62"/>
      <c r="L384" s="7"/>
      <c r="M384" s="7"/>
      <c r="O384" s="7"/>
      <c r="Q384" s="7"/>
      <c r="S384" s="7"/>
      <c r="U384" s="7"/>
      <c r="W384" s="7"/>
    </row>
    <row r="385">
      <c r="E385" s="62"/>
      <c r="F385" s="7"/>
      <c r="G385" s="7"/>
      <c r="I385" s="7"/>
      <c r="K385" s="62"/>
      <c r="L385" s="7"/>
      <c r="M385" s="7"/>
      <c r="O385" s="7"/>
      <c r="Q385" s="7"/>
      <c r="S385" s="7"/>
      <c r="U385" s="7"/>
      <c r="W385" s="7"/>
    </row>
    <row r="386">
      <c r="E386" s="62"/>
      <c r="F386" s="7"/>
      <c r="G386" s="7"/>
      <c r="I386" s="7"/>
      <c r="K386" s="62"/>
      <c r="L386" s="7"/>
      <c r="M386" s="7"/>
      <c r="O386" s="7"/>
      <c r="Q386" s="7"/>
      <c r="S386" s="7"/>
      <c r="U386" s="7"/>
      <c r="W386" s="7"/>
    </row>
    <row r="387">
      <c r="E387" s="62"/>
      <c r="F387" s="7"/>
      <c r="G387" s="7"/>
      <c r="I387" s="7"/>
      <c r="K387" s="62"/>
      <c r="L387" s="7"/>
      <c r="M387" s="7"/>
      <c r="O387" s="7"/>
      <c r="Q387" s="7"/>
      <c r="S387" s="7"/>
      <c r="U387" s="7"/>
      <c r="W387" s="7"/>
    </row>
    <row r="388">
      <c r="E388" s="62"/>
      <c r="F388" s="7"/>
      <c r="G388" s="7"/>
      <c r="I388" s="7"/>
      <c r="K388" s="62"/>
      <c r="L388" s="7"/>
      <c r="M388" s="7"/>
      <c r="O388" s="7"/>
      <c r="Q388" s="7"/>
      <c r="S388" s="7"/>
      <c r="U388" s="7"/>
      <c r="W388" s="7"/>
    </row>
    <row r="389">
      <c r="E389" s="62"/>
      <c r="F389" s="7"/>
      <c r="G389" s="7"/>
      <c r="I389" s="7"/>
      <c r="K389" s="62"/>
      <c r="L389" s="7"/>
      <c r="M389" s="7"/>
      <c r="O389" s="7"/>
      <c r="Q389" s="7"/>
      <c r="S389" s="7"/>
      <c r="U389" s="7"/>
      <c r="W389" s="7"/>
    </row>
    <row r="390">
      <c r="E390" s="62"/>
      <c r="F390" s="7"/>
      <c r="G390" s="7"/>
      <c r="I390" s="7"/>
      <c r="K390" s="62"/>
      <c r="L390" s="7"/>
      <c r="M390" s="7"/>
      <c r="O390" s="7"/>
      <c r="Q390" s="7"/>
      <c r="S390" s="7"/>
      <c r="U390" s="7"/>
      <c r="W390" s="7"/>
    </row>
    <row r="391">
      <c r="E391" s="62"/>
      <c r="F391" s="7"/>
      <c r="G391" s="7"/>
      <c r="I391" s="7"/>
      <c r="K391" s="62"/>
      <c r="L391" s="7"/>
      <c r="M391" s="7"/>
      <c r="O391" s="7"/>
      <c r="Q391" s="7"/>
      <c r="S391" s="7"/>
      <c r="U391" s="7"/>
      <c r="W391" s="7"/>
    </row>
    <row r="392">
      <c r="E392" s="62"/>
      <c r="F392" s="7"/>
      <c r="G392" s="7"/>
      <c r="I392" s="7"/>
      <c r="K392" s="62"/>
      <c r="L392" s="7"/>
      <c r="M392" s="7"/>
      <c r="O392" s="7"/>
      <c r="Q392" s="7"/>
      <c r="S392" s="7"/>
      <c r="U392" s="7"/>
      <c r="W392" s="7"/>
    </row>
    <row r="393">
      <c r="E393" s="62"/>
      <c r="F393" s="7"/>
      <c r="G393" s="7"/>
      <c r="I393" s="7"/>
      <c r="K393" s="62"/>
      <c r="L393" s="7"/>
      <c r="M393" s="7"/>
      <c r="O393" s="7"/>
      <c r="Q393" s="7"/>
      <c r="S393" s="7"/>
      <c r="U393" s="7"/>
      <c r="W393" s="7"/>
    </row>
    <row r="394">
      <c r="E394" s="62"/>
      <c r="F394" s="7"/>
      <c r="G394" s="7"/>
      <c r="I394" s="7"/>
      <c r="K394" s="62"/>
      <c r="L394" s="7"/>
      <c r="M394" s="7"/>
      <c r="O394" s="7"/>
      <c r="Q394" s="7"/>
      <c r="S394" s="7"/>
      <c r="U394" s="7"/>
      <c r="W394" s="7"/>
    </row>
    <row r="395">
      <c r="E395" s="62"/>
      <c r="F395" s="7"/>
      <c r="G395" s="7"/>
      <c r="I395" s="7"/>
      <c r="K395" s="62"/>
      <c r="L395" s="7"/>
      <c r="M395" s="7"/>
      <c r="O395" s="7"/>
      <c r="Q395" s="7"/>
      <c r="S395" s="7"/>
      <c r="U395" s="7"/>
      <c r="W395" s="7"/>
    </row>
    <row r="396">
      <c r="E396" s="62"/>
      <c r="F396" s="7"/>
      <c r="G396" s="7"/>
      <c r="I396" s="7"/>
      <c r="K396" s="62"/>
      <c r="L396" s="7"/>
      <c r="M396" s="7"/>
      <c r="O396" s="7"/>
      <c r="Q396" s="7"/>
      <c r="S396" s="7"/>
      <c r="U396" s="7"/>
      <c r="W396" s="7"/>
    </row>
    <row r="397">
      <c r="E397" s="62"/>
      <c r="F397" s="7"/>
      <c r="G397" s="7"/>
      <c r="I397" s="7"/>
      <c r="K397" s="62"/>
      <c r="L397" s="7"/>
      <c r="M397" s="7"/>
      <c r="O397" s="7"/>
      <c r="Q397" s="7"/>
      <c r="S397" s="7"/>
      <c r="U397" s="7"/>
      <c r="W397" s="7"/>
    </row>
    <row r="398">
      <c r="E398" s="62"/>
      <c r="F398" s="7"/>
      <c r="G398" s="7"/>
      <c r="I398" s="7"/>
      <c r="K398" s="62"/>
      <c r="L398" s="7"/>
      <c r="M398" s="7"/>
      <c r="O398" s="7"/>
      <c r="Q398" s="7"/>
      <c r="S398" s="7"/>
      <c r="U398" s="7"/>
      <c r="W398" s="7"/>
    </row>
    <row r="399">
      <c r="E399" s="62"/>
      <c r="F399" s="7"/>
      <c r="G399" s="7"/>
      <c r="I399" s="7"/>
      <c r="K399" s="62"/>
      <c r="L399" s="7"/>
      <c r="M399" s="7"/>
      <c r="O399" s="7"/>
      <c r="Q399" s="7"/>
      <c r="S399" s="7"/>
      <c r="U399" s="7"/>
      <c r="W399" s="7"/>
    </row>
    <row r="400">
      <c r="E400" s="62"/>
      <c r="F400" s="7"/>
      <c r="G400" s="7"/>
      <c r="I400" s="7"/>
      <c r="K400" s="62"/>
      <c r="L400" s="7"/>
      <c r="M400" s="7"/>
      <c r="O400" s="7"/>
      <c r="Q400" s="7"/>
      <c r="S400" s="7"/>
      <c r="U400" s="7"/>
      <c r="W400" s="7"/>
    </row>
    <row r="401">
      <c r="E401" s="62"/>
      <c r="F401" s="7"/>
      <c r="G401" s="7"/>
      <c r="I401" s="7"/>
      <c r="K401" s="62"/>
      <c r="L401" s="7"/>
      <c r="M401" s="7"/>
      <c r="O401" s="7"/>
      <c r="Q401" s="7"/>
      <c r="S401" s="7"/>
      <c r="U401" s="7"/>
      <c r="W401" s="7"/>
    </row>
    <row r="402">
      <c r="E402" s="62"/>
      <c r="F402" s="7"/>
      <c r="G402" s="7"/>
      <c r="I402" s="7"/>
      <c r="K402" s="62"/>
      <c r="L402" s="7"/>
      <c r="M402" s="7"/>
      <c r="O402" s="7"/>
      <c r="Q402" s="7"/>
      <c r="S402" s="7"/>
      <c r="U402" s="7"/>
      <c r="W402" s="7"/>
    </row>
    <row r="403">
      <c r="E403" s="62"/>
      <c r="F403" s="7"/>
      <c r="G403" s="7"/>
      <c r="I403" s="7"/>
      <c r="K403" s="62"/>
      <c r="L403" s="7"/>
      <c r="M403" s="7"/>
      <c r="O403" s="7"/>
      <c r="Q403" s="7"/>
      <c r="S403" s="7"/>
      <c r="U403" s="7"/>
      <c r="W403" s="7"/>
    </row>
    <row r="404">
      <c r="E404" s="62"/>
      <c r="F404" s="7"/>
      <c r="G404" s="7"/>
      <c r="I404" s="7"/>
      <c r="K404" s="62"/>
      <c r="L404" s="7"/>
      <c r="M404" s="7"/>
      <c r="O404" s="7"/>
      <c r="Q404" s="7"/>
      <c r="S404" s="7"/>
      <c r="U404" s="7"/>
      <c r="W404" s="7"/>
    </row>
    <row r="405">
      <c r="E405" s="62"/>
      <c r="F405" s="7"/>
      <c r="G405" s="7"/>
      <c r="I405" s="7"/>
      <c r="K405" s="62"/>
      <c r="L405" s="7"/>
      <c r="M405" s="7"/>
      <c r="O405" s="7"/>
      <c r="Q405" s="7"/>
      <c r="S405" s="7"/>
      <c r="U405" s="7"/>
      <c r="W405" s="7"/>
    </row>
    <row r="406">
      <c r="E406" s="62"/>
      <c r="F406" s="7"/>
      <c r="G406" s="7"/>
      <c r="I406" s="7"/>
      <c r="K406" s="62"/>
      <c r="L406" s="7"/>
      <c r="M406" s="7"/>
      <c r="O406" s="7"/>
      <c r="Q406" s="7"/>
      <c r="S406" s="7"/>
      <c r="U406" s="7"/>
      <c r="W406" s="7"/>
    </row>
    <row r="407">
      <c r="E407" s="62"/>
      <c r="F407" s="7"/>
      <c r="G407" s="7"/>
      <c r="I407" s="7"/>
      <c r="K407" s="62"/>
      <c r="L407" s="7"/>
      <c r="M407" s="7"/>
      <c r="O407" s="7"/>
      <c r="Q407" s="7"/>
      <c r="S407" s="7"/>
      <c r="U407" s="7"/>
      <c r="W407" s="7"/>
    </row>
    <row r="408">
      <c r="E408" s="62"/>
      <c r="F408" s="7"/>
      <c r="G408" s="7"/>
      <c r="I408" s="7"/>
      <c r="K408" s="62"/>
      <c r="L408" s="7"/>
      <c r="M408" s="7"/>
      <c r="O408" s="7"/>
      <c r="Q408" s="7"/>
      <c r="S408" s="7"/>
      <c r="U408" s="7"/>
      <c r="W408" s="7"/>
    </row>
    <row r="409">
      <c r="E409" s="62"/>
      <c r="F409" s="7"/>
      <c r="G409" s="7"/>
      <c r="I409" s="7"/>
      <c r="K409" s="62"/>
      <c r="L409" s="7"/>
      <c r="M409" s="7"/>
      <c r="O409" s="7"/>
      <c r="Q409" s="7"/>
      <c r="S409" s="7"/>
      <c r="U409" s="7"/>
      <c r="W409" s="7"/>
    </row>
    <row r="410">
      <c r="E410" s="62"/>
      <c r="F410" s="7"/>
      <c r="G410" s="7"/>
      <c r="I410" s="7"/>
      <c r="K410" s="62"/>
      <c r="L410" s="7"/>
      <c r="M410" s="7"/>
      <c r="O410" s="7"/>
      <c r="Q410" s="7"/>
      <c r="S410" s="7"/>
      <c r="U410" s="7"/>
      <c r="W410" s="7"/>
    </row>
    <row r="411">
      <c r="E411" s="62"/>
      <c r="F411" s="7"/>
      <c r="G411" s="7"/>
      <c r="I411" s="7"/>
      <c r="K411" s="62"/>
      <c r="L411" s="7"/>
      <c r="M411" s="7"/>
      <c r="O411" s="7"/>
      <c r="Q411" s="7"/>
      <c r="S411" s="7"/>
      <c r="U411" s="7"/>
      <c r="W411" s="7"/>
    </row>
    <row r="412">
      <c r="E412" s="62"/>
      <c r="F412" s="7"/>
      <c r="G412" s="7"/>
      <c r="I412" s="7"/>
      <c r="K412" s="62"/>
      <c r="L412" s="7"/>
      <c r="M412" s="7"/>
      <c r="O412" s="7"/>
      <c r="Q412" s="7"/>
      <c r="S412" s="7"/>
      <c r="U412" s="7"/>
      <c r="W412" s="7"/>
    </row>
    <row r="413">
      <c r="E413" s="62"/>
      <c r="F413" s="7"/>
      <c r="G413" s="7"/>
      <c r="I413" s="7"/>
      <c r="K413" s="62"/>
      <c r="L413" s="7"/>
      <c r="M413" s="7"/>
      <c r="O413" s="7"/>
      <c r="Q413" s="7"/>
      <c r="S413" s="7"/>
      <c r="U413" s="7"/>
      <c r="W413" s="7"/>
    </row>
    <row r="414">
      <c r="E414" s="62"/>
      <c r="F414" s="7"/>
      <c r="G414" s="7"/>
      <c r="I414" s="7"/>
      <c r="K414" s="62"/>
      <c r="L414" s="7"/>
      <c r="M414" s="7"/>
      <c r="O414" s="7"/>
      <c r="Q414" s="7"/>
      <c r="S414" s="7"/>
      <c r="U414" s="7"/>
      <c r="W414" s="7"/>
    </row>
    <row r="415">
      <c r="E415" s="62"/>
      <c r="F415" s="7"/>
      <c r="G415" s="7"/>
      <c r="I415" s="7"/>
      <c r="K415" s="62"/>
      <c r="L415" s="7"/>
      <c r="M415" s="7"/>
      <c r="O415" s="7"/>
      <c r="Q415" s="7"/>
      <c r="S415" s="7"/>
      <c r="U415" s="7"/>
      <c r="W415" s="7"/>
    </row>
    <row r="416">
      <c r="E416" s="62"/>
      <c r="F416" s="7"/>
      <c r="G416" s="7"/>
      <c r="I416" s="7"/>
      <c r="K416" s="62"/>
      <c r="L416" s="7"/>
      <c r="M416" s="7"/>
      <c r="O416" s="7"/>
      <c r="Q416" s="7"/>
      <c r="S416" s="7"/>
      <c r="U416" s="7"/>
      <c r="W416" s="7"/>
    </row>
    <row r="417">
      <c r="E417" s="62"/>
      <c r="F417" s="7"/>
      <c r="G417" s="7"/>
      <c r="I417" s="7"/>
      <c r="K417" s="62"/>
      <c r="L417" s="7"/>
      <c r="M417" s="7"/>
      <c r="O417" s="7"/>
      <c r="Q417" s="7"/>
      <c r="S417" s="7"/>
      <c r="U417" s="7"/>
      <c r="W417" s="7"/>
    </row>
    <row r="418">
      <c r="E418" s="62"/>
      <c r="F418" s="7"/>
      <c r="G418" s="7"/>
      <c r="I418" s="7"/>
      <c r="K418" s="62"/>
      <c r="L418" s="7"/>
      <c r="M418" s="7"/>
      <c r="O418" s="7"/>
      <c r="Q418" s="7"/>
      <c r="S418" s="7"/>
      <c r="U418" s="7"/>
      <c r="W418" s="7"/>
    </row>
    <row r="419">
      <c r="E419" s="62"/>
      <c r="F419" s="7"/>
      <c r="G419" s="7"/>
      <c r="I419" s="7"/>
      <c r="K419" s="62"/>
      <c r="L419" s="7"/>
      <c r="M419" s="7"/>
      <c r="O419" s="7"/>
      <c r="Q419" s="7"/>
      <c r="S419" s="7"/>
      <c r="U419" s="7"/>
      <c r="W419" s="7"/>
    </row>
    <row r="420">
      <c r="E420" s="62"/>
      <c r="F420" s="7"/>
      <c r="G420" s="7"/>
      <c r="I420" s="7"/>
      <c r="K420" s="62"/>
      <c r="L420" s="7"/>
      <c r="M420" s="7"/>
      <c r="O420" s="7"/>
      <c r="Q420" s="7"/>
      <c r="S420" s="7"/>
      <c r="U420" s="7"/>
      <c r="W420" s="7"/>
    </row>
    <row r="421">
      <c r="E421" s="62"/>
      <c r="F421" s="7"/>
      <c r="G421" s="7"/>
      <c r="I421" s="7"/>
      <c r="K421" s="62"/>
      <c r="L421" s="7"/>
      <c r="M421" s="7"/>
      <c r="O421" s="7"/>
      <c r="Q421" s="7"/>
      <c r="S421" s="7"/>
      <c r="U421" s="7"/>
      <c r="W421" s="7"/>
    </row>
    <row r="422">
      <c r="E422" s="62"/>
      <c r="F422" s="7"/>
      <c r="G422" s="7"/>
      <c r="I422" s="7"/>
      <c r="K422" s="62"/>
      <c r="L422" s="7"/>
      <c r="M422" s="7"/>
      <c r="O422" s="7"/>
      <c r="Q422" s="7"/>
      <c r="S422" s="7"/>
      <c r="U422" s="7"/>
      <c r="W422" s="7"/>
    </row>
    <row r="423">
      <c r="E423" s="62"/>
      <c r="F423" s="7"/>
      <c r="G423" s="7"/>
      <c r="I423" s="7"/>
      <c r="K423" s="62"/>
      <c r="L423" s="7"/>
      <c r="M423" s="7"/>
      <c r="O423" s="7"/>
      <c r="Q423" s="7"/>
      <c r="S423" s="7"/>
      <c r="U423" s="7"/>
      <c r="W423" s="7"/>
    </row>
    <row r="424">
      <c r="E424" s="62"/>
      <c r="F424" s="7"/>
      <c r="G424" s="7"/>
      <c r="I424" s="7"/>
      <c r="K424" s="62"/>
      <c r="L424" s="7"/>
      <c r="M424" s="7"/>
      <c r="O424" s="7"/>
      <c r="Q424" s="7"/>
      <c r="S424" s="7"/>
      <c r="U424" s="7"/>
      <c r="W424" s="7"/>
    </row>
    <row r="425">
      <c r="E425" s="62"/>
      <c r="F425" s="7"/>
      <c r="G425" s="7"/>
      <c r="I425" s="7"/>
      <c r="K425" s="62"/>
      <c r="L425" s="7"/>
      <c r="M425" s="7"/>
      <c r="O425" s="7"/>
      <c r="Q425" s="7"/>
      <c r="S425" s="7"/>
      <c r="U425" s="7"/>
      <c r="W425" s="7"/>
    </row>
    <row r="426">
      <c r="E426" s="62"/>
      <c r="F426" s="7"/>
      <c r="G426" s="7"/>
      <c r="I426" s="7"/>
      <c r="K426" s="62"/>
      <c r="L426" s="7"/>
      <c r="M426" s="7"/>
      <c r="O426" s="7"/>
      <c r="Q426" s="7"/>
      <c r="S426" s="7"/>
      <c r="U426" s="7"/>
      <c r="W426" s="7"/>
    </row>
    <row r="427">
      <c r="E427" s="62"/>
      <c r="F427" s="7"/>
      <c r="G427" s="7"/>
      <c r="I427" s="7"/>
      <c r="K427" s="62"/>
      <c r="L427" s="7"/>
      <c r="M427" s="7"/>
      <c r="O427" s="7"/>
      <c r="Q427" s="7"/>
      <c r="S427" s="7"/>
      <c r="U427" s="7"/>
      <c r="W427" s="7"/>
    </row>
    <row r="428">
      <c r="E428" s="62"/>
      <c r="F428" s="7"/>
      <c r="G428" s="7"/>
      <c r="I428" s="7"/>
      <c r="K428" s="62"/>
      <c r="L428" s="7"/>
      <c r="M428" s="7"/>
      <c r="O428" s="7"/>
      <c r="Q428" s="7"/>
      <c r="S428" s="7"/>
      <c r="U428" s="7"/>
      <c r="W428" s="7"/>
    </row>
    <row r="429">
      <c r="E429" s="62"/>
      <c r="F429" s="7"/>
      <c r="G429" s="7"/>
      <c r="I429" s="7"/>
      <c r="K429" s="62"/>
      <c r="L429" s="7"/>
      <c r="M429" s="7"/>
      <c r="O429" s="7"/>
      <c r="Q429" s="7"/>
      <c r="S429" s="7"/>
      <c r="U429" s="7"/>
      <c r="W429" s="7"/>
    </row>
    <row r="430">
      <c r="E430" s="62"/>
      <c r="F430" s="7"/>
      <c r="G430" s="7"/>
      <c r="I430" s="7"/>
      <c r="K430" s="62"/>
      <c r="L430" s="7"/>
      <c r="M430" s="7"/>
      <c r="O430" s="7"/>
      <c r="Q430" s="7"/>
      <c r="S430" s="7"/>
      <c r="U430" s="7"/>
      <c r="W430" s="7"/>
    </row>
    <row r="431">
      <c r="E431" s="62"/>
      <c r="F431" s="7"/>
      <c r="G431" s="7"/>
      <c r="I431" s="7"/>
      <c r="K431" s="62"/>
      <c r="L431" s="7"/>
      <c r="M431" s="7"/>
      <c r="O431" s="7"/>
      <c r="Q431" s="7"/>
      <c r="S431" s="7"/>
      <c r="U431" s="7"/>
      <c r="W431" s="7"/>
    </row>
    <row r="432">
      <c r="E432" s="62"/>
      <c r="F432" s="7"/>
      <c r="G432" s="7"/>
      <c r="I432" s="7"/>
      <c r="K432" s="62"/>
      <c r="L432" s="7"/>
      <c r="M432" s="7"/>
      <c r="O432" s="7"/>
      <c r="Q432" s="7"/>
      <c r="S432" s="7"/>
      <c r="U432" s="7"/>
      <c r="W432" s="7"/>
    </row>
    <row r="433">
      <c r="E433" s="62"/>
      <c r="F433" s="7"/>
      <c r="G433" s="7"/>
      <c r="I433" s="7"/>
      <c r="K433" s="62"/>
      <c r="L433" s="7"/>
      <c r="M433" s="7"/>
      <c r="O433" s="7"/>
      <c r="Q433" s="7"/>
      <c r="S433" s="7"/>
      <c r="U433" s="7"/>
      <c r="W433" s="7"/>
    </row>
    <row r="434">
      <c r="E434" s="62"/>
      <c r="F434" s="7"/>
      <c r="G434" s="7"/>
      <c r="I434" s="7"/>
      <c r="K434" s="62"/>
      <c r="L434" s="7"/>
      <c r="M434" s="7"/>
      <c r="O434" s="7"/>
      <c r="Q434" s="7"/>
      <c r="S434" s="7"/>
      <c r="U434" s="7"/>
      <c r="W434" s="7"/>
    </row>
    <row r="435">
      <c r="E435" s="62"/>
      <c r="F435" s="7"/>
      <c r="G435" s="7"/>
      <c r="I435" s="7"/>
      <c r="K435" s="62"/>
      <c r="L435" s="7"/>
      <c r="M435" s="7"/>
      <c r="O435" s="7"/>
      <c r="Q435" s="7"/>
      <c r="S435" s="7"/>
      <c r="U435" s="7"/>
      <c r="W435" s="7"/>
    </row>
    <row r="436">
      <c r="E436" s="62"/>
      <c r="F436" s="7"/>
      <c r="G436" s="7"/>
      <c r="I436" s="7"/>
      <c r="K436" s="62"/>
      <c r="L436" s="7"/>
      <c r="M436" s="7"/>
      <c r="O436" s="7"/>
      <c r="Q436" s="7"/>
      <c r="S436" s="7"/>
      <c r="U436" s="7"/>
      <c r="W436" s="7"/>
    </row>
    <row r="437">
      <c r="E437" s="62"/>
      <c r="F437" s="7"/>
      <c r="G437" s="7"/>
      <c r="I437" s="7"/>
      <c r="K437" s="62"/>
      <c r="L437" s="7"/>
      <c r="M437" s="7"/>
      <c r="O437" s="7"/>
      <c r="Q437" s="7"/>
      <c r="S437" s="7"/>
      <c r="U437" s="7"/>
      <c r="W437" s="7"/>
    </row>
    <row r="438">
      <c r="E438" s="62"/>
      <c r="F438" s="7"/>
      <c r="G438" s="7"/>
      <c r="I438" s="7"/>
      <c r="K438" s="62"/>
      <c r="L438" s="7"/>
      <c r="M438" s="7"/>
      <c r="O438" s="7"/>
      <c r="Q438" s="7"/>
      <c r="S438" s="7"/>
      <c r="U438" s="7"/>
      <c r="W438" s="7"/>
    </row>
    <row r="439">
      <c r="E439" s="62"/>
      <c r="F439" s="7"/>
      <c r="G439" s="7"/>
      <c r="I439" s="7"/>
      <c r="K439" s="62"/>
      <c r="L439" s="7"/>
      <c r="M439" s="7"/>
      <c r="O439" s="7"/>
      <c r="Q439" s="7"/>
      <c r="S439" s="7"/>
      <c r="U439" s="7"/>
      <c r="W439" s="7"/>
    </row>
    <row r="440">
      <c r="E440" s="62"/>
      <c r="F440" s="7"/>
      <c r="G440" s="7"/>
      <c r="I440" s="7"/>
      <c r="K440" s="62"/>
      <c r="L440" s="7"/>
      <c r="M440" s="7"/>
      <c r="O440" s="7"/>
      <c r="Q440" s="7"/>
      <c r="S440" s="7"/>
      <c r="U440" s="7"/>
      <c r="W440" s="7"/>
    </row>
    <row r="441">
      <c r="E441" s="62"/>
      <c r="F441" s="7"/>
      <c r="G441" s="7"/>
      <c r="I441" s="7"/>
      <c r="K441" s="62"/>
      <c r="L441" s="7"/>
      <c r="M441" s="7"/>
      <c r="O441" s="7"/>
      <c r="Q441" s="7"/>
      <c r="S441" s="7"/>
      <c r="U441" s="7"/>
      <c r="W441" s="7"/>
    </row>
    <row r="442">
      <c r="E442" s="62"/>
      <c r="F442" s="7"/>
      <c r="G442" s="7"/>
      <c r="I442" s="7"/>
      <c r="K442" s="62"/>
      <c r="L442" s="7"/>
      <c r="M442" s="7"/>
      <c r="O442" s="7"/>
      <c r="Q442" s="7"/>
      <c r="S442" s="7"/>
      <c r="U442" s="7"/>
      <c r="W442" s="7"/>
    </row>
    <row r="443">
      <c r="E443" s="62"/>
      <c r="F443" s="7"/>
      <c r="G443" s="7"/>
      <c r="I443" s="7"/>
      <c r="K443" s="62"/>
      <c r="L443" s="7"/>
      <c r="M443" s="7"/>
      <c r="O443" s="7"/>
      <c r="Q443" s="7"/>
      <c r="S443" s="7"/>
      <c r="U443" s="7"/>
      <c r="W443" s="7"/>
    </row>
    <row r="444">
      <c r="E444" s="62"/>
      <c r="F444" s="7"/>
      <c r="G444" s="7"/>
      <c r="I444" s="7"/>
      <c r="K444" s="62"/>
      <c r="L444" s="7"/>
      <c r="M444" s="7"/>
      <c r="O444" s="7"/>
      <c r="Q444" s="7"/>
      <c r="S444" s="7"/>
      <c r="U444" s="7"/>
      <c r="W444" s="7"/>
    </row>
    <row r="445">
      <c r="E445" s="62"/>
      <c r="F445" s="7"/>
      <c r="G445" s="7"/>
      <c r="I445" s="7"/>
      <c r="K445" s="62"/>
      <c r="L445" s="7"/>
      <c r="M445" s="7"/>
      <c r="O445" s="7"/>
      <c r="Q445" s="7"/>
      <c r="S445" s="7"/>
      <c r="U445" s="7"/>
      <c r="W445" s="7"/>
    </row>
    <row r="446">
      <c r="E446" s="62"/>
      <c r="F446" s="7"/>
      <c r="G446" s="7"/>
      <c r="I446" s="7"/>
      <c r="K446" s="62"/>
      <c r="L446" s="7"/>
      <c r="M446" s="7"/>
      <c r="O446" s="7"/>
      <c r="Q446" s="7"/>
      <c r="S446" s="7"/>
      <c r="U446" s="7"/>
      <c r="W446" s="7"/>
    </row>
    <row r="447">
      <c r="E447" s="62"/>
      <c r="F447" s="7"/>
      <c r="G447" s="7"/>
      <c r="I447" s="7"/>
      <c r="K447" s="62"/>
      <c r="L447" s="7"/>
      <c r="M447" s="7"/>
      <c r="O447" s="7"/>
      <c r="Q447" s="7"/>
      <c r="S447" s="7"/>
      <c r="U447" s="7"/>
      <c r="W447" s="7"/>
    </row>
    <row r="448">
      <c r="E448" s="62"/>
      <c r="F448" s="7"/>
      <c r="G448" s="7"/>
      <c r="I448" s="7"/>
      <c r="K448" s="62"/>
      <c r="L448" s="7"/>
      <c r="M448" s="7"/>
      <c r="O448" s="7"/>
      <c r="Q448" s="7"/>
      <c r="S448" s="7"/>
      <c r="U448" s="7"/>
      <c r="W448" s="7"/>
    </row>
    <row r="449">
      <c r="E449" s="62"/>
      <c r="F449" s="7"/>
      <c r="G449" s="7"/>
      <c r="I449" s="7"/>
      <c r="K449" s="62"/>
      <c r="L449" s="7"/>
      <c r="M449" s="7"/>
      <c r="O449" s="7"/>
      <c r="Q449" s="7"/>
      <c r="S449" s="7"/>
      <c r="U449" s="7"/>
      <c r="W449" s="7"/>
    </row>
    <row r="450">
      <c r="E450" s="62"/>
      <c r="F450" s="7"/>
      <c r="G450" s="7"/>
      <c r="I450" s="7"/>
      <c r="K450" s="62"/>
      <c r="L450" s="7"/>
      <c r="M450" s="7"/>
      <c r="O450" s="7"/>
      <c r="Q450" s="7"/>
      <c r="S450" s="7"/>
      <c r="U450" s="7"/>
      <c r="W450" s="7"/>
    </row>
    <row r="451">
      <c r="E451" s="62"/>
      <c r="F451" s="7"/>
      <c r="G451" s="7"/>
      <c r="I451" s="7"/>
      <c r="K451" s="62"/>
      <c r="L451" s="7"/>
      <c r="M451" s="7"/>
      <c r="O451" s="7"/>
      <c r="Q451" s="7"/>
      <c r="S451" s="7"/>
      <c r="U451" s="7"/>
      <c r="W451" s="7"/>
    </row>
    <row r="452">
      <c r="E452" s="62"/>
      <c r="F452" s="7"/>
      <c r="G452" s="7"/>
      <c r="I452" s="7"/>
      <c r="K452" s="62"/>
      <c r="L452" s="7"/>
      <c r="M452" s="7"/>
      <c r="O452" s="7"/>
      <c r="Q452" s="7"/>
      <c r="S452" s="7"/>
      <c r="U452" s="7"/>
      <c r="W452" s="7"/>
    </row>
    <row r="453">
      <c r="E453" s="62"/>
      <c r="F453" s="7"/>
      <c r="G453" s="7"/>
      <c r="I453" s="7"/>
      <c r="K453" s="62"/>
      <c r="L453" s="7"/>
      <c r="M453" s="7"/>
      <c r="O453" s="7"/>
      <c r="Q453" s="7"/>
      <c r="S453" s="7"/>
      <c r="U453" s="7"/>
      <c r="W453" s="7"/>
    </row>
    <row r="454">
      <c r="E454" s="62"/>
      <c r="F454" s="7"/>
      <c r="G454" s="7"/>
      <c r="I454" s="7"/>
      <c r="K454" s="62"/>
      <c r="L454" s="7"/>
      <c r="M454" s="7"/>
      <c r="O454" s="7"/>
      <c r="Q454" s="7"/>
      <c r="S454" s="7"/>
      <c r="U454" s="7"/>
      <c r="W454" s="7"/>
    </row>
    <row r="455">
      <c r="E455" s="62"/>
      <c r="F455" s="7"/>
      <c r="G455" s="7"/>
      <c r="I455" s="7"/>
      <c r="K455" s="62"/>
      <c r="L455" s="7"/>
      <c r="M455" s="7"/>
      <c r="O455" s="7"/>
      <c r="Q455" s="7"/>
      <c r="S455" s="7"/>
      <c r="U455" s="7"/>
      <c r="W455" s="7"/>
    </row>
    <row r="456">
      <c r="E456" s="62"/>
      <c r="F456" s="7"/>
      <c r="G456" s="7"/>
      <c r="I456" s="7"/>
      <c r="K456" s="62"/>
      <c r="L456" s="7"/>
      <c r="M456" s="7"/>
      <c r="O456" s="7"/>
      <c r="Q456" s="7"/>
      <c r="S456" s="7"/>
      <c r="U456" s="7"/>
      <c r="W456" s="7"/>
    </row>
    <row r="457">
      <c r="E457" s="62"/>
      <c r="F457" s="7"/>
      <c r="G457" s="7"/>
      <c r="I457" s="7"/>
      <c r="K457" s="62"/>
      <c r="L457" s="7"/>
      <c r="M457" s="7"/>
      <c r="O457" s="7"/>
      <c r="Q457" s="7"/>
      <c r="S457" s="7"/>
      <c r="U457" s="7"/>
      <c r="W457" s="7"/>
    </row>
    <row r="458">
      <c r="E458" s="62"/>
      <c r="F458" s="7"/>
      <c r="G458" s="7"/>
      <c r="I458" s="7"/>
      <c r="K458" s="62"/>
      <c r="L458" s="7"/>
      <c r="M458" s="7"/>
      <c r="O458" s="7"/>
      <c r="Q458" s="7"/>
      <c r="S458" s="7"/>
      <c r="U458" s="7"/>
      <c r="W458" s="7"/>
    </row>
    <row r="459">
      <c r="E459" s="62"/>
      <c r="F459" s="7"/>
      <c r="G459" s="7"/>
      <c r="I459" s="7"/>
      <c r="K459" s="62"/>
      <c r="L459" s="7"/>
      <c r="M459" s="7"/>
      <c r="O459" s="7"/>
      <c r="Q459" s="7"/>
      <c r="S459" s="7"/>
      <c r="U459" s="7"/>
      <c r="W459" s="7"/>
    </row>
    <row r="460">
      <c r="E460" s="62"/>
      <c r="F460" s="7"/>
      <c r="G460" s="7"/>
      <c r="I460" s="7"/>
      <c r="K460" s="62"/>
      <c r="L460" s="7"/>
      <c r="M460" s="7"/>
      <c r="O460" s="7"/>
      <c r="Q460" s="7"/>
      <c r="S460" s="7"/>
      <c r="U460" s="7"/>
      <c r="W460" s="7"/>
    </row>
    <row r="461">
      <c r="E461" s="62"/>
      <c r="F461" s="7"/>
      <c r="G461" s="7"/>
      <c r="I461" s="7"/>
      <c r="K461" s="62"/>
      <c r="L461" s="7"/>
      <c r="M461" s="7"/>
      <c r="O461" s="7"/>
      <c r="Q461" s="7"/>
      <c r="S461" s="7"/>
      <c r="U461" s="7"/>
      <c r="W461" s="7"/>
    </row>
    <row r="462">
      <c r="E462" s="62"/>
      <c r="F462" s="7"/>
      <c r="G462" s="7"/>
      <c r="I462" s="7"/>
      <c r="K462" s="62"/>
      <c r="L462" s="7"/>
      <c r="M462" s="7"/>
      <c r="O462" s="7"/>
      <c r="Q462" s="7"/>
      <c r="S462" s="7"/>
      <c r="U462" s="7"/>
      <c r="W462" s="7"/>
    </row>
    <row r="463">
      <c r="E463" s="62"/>
      <c r="F463" s="7"/>
      <c r="G463" s="7"/>
      <c r="I463" s="7"/>
      <c r="K463" s="62"/>
      <c r="L463" s="7"/>
      <c r="M463" s="7"/>
      <c r="O463" s="7"/>
      <c r="Q463" s="7"/>
      <c r="S463" s="7"/>
      <c r="U463" s="7"/>
      <c r="W463" s="7"/>
    </row>
    <row r="464">
      <c r="E464" s="62"/>
      <c r="F464" s="7"/>
      <c r="G464" s="7"/>
      <c r="I464" s="7"/>
      <c r="K464" s="62"/>
      <c r="L464" s="7"/>
      <c r="M464" s="7"/>
      <c r="O464" s="7"/>
      <c r="Q464" s="7"/>
      <c r="S464" s="7"/>
      <c r="U464" s="7"/>
      <c r="W464" s="7"/>
    </row>
    <row r="465">
      <c r="E465" s="62"/>
      <c r="F465" s="7"/>
      <c r="G465" s="7"/>
      <c r="I465" s="7"/>
      <c r="K465" s="62"/>
      <c r="L465" s="7"/>
      <c r="M465" s="7"/>
      <c r="O465" s="7"/>
      <c r="Q465" s="7"/>
      <c r="S465" s="7"/>
      <c r="U465" s="7"/>
      <c r="W465" s="7"/>
    </row>
    <row r="466">
      <c r="E466" s="62"/>
      <c r="F466" s="7"/>
      <c r="G466" s="7"/>
      <c r="I466" s="7"/>
      <c r="K466" s="62"/>
      <c r="L466" s="7"/>
      <c r="M466" s="7"/>
      <c r="O466" s="7"/>
      <c r="Q466" s="7"/>
      <c r="S466" s="7"/>
      <c r="U466" s="7"/>
      <c r="W466" s="7"/>
    </row>
    <row r="467">
      <c r="E467" s="62"/>
      <c r="F467" s="7"/>
      <c r="G467" s="7"/>
      <c r="I467" s="7"/>
      <c r="K467" s="62"/>
      <c r="L467" s="7"/>
      <c r="M467" s="7"/>
      <c r="O467" s="7"/>
      <c r="Q467" s="7"/>
      <c r="S467" s="7"/>
      <c r="U467" s="7"/>
      <c r="W467" s="7"/>
    </row>
    <row r="468">
      <c r="E468" s="62"/>
      <c r="F468" s="7"/>
      <c r="G468" s="7"/>
      <c r="I468" s="7"/>
      <c r="K468" s="62"/>
      <c r="L468" s="7"/>
      <c r="M468" s="7"/>
      <c r="O468" s="7"/>
      <c r="Q468" s="7"/>
      <c r="S468" s="7"/>
      <c r="U468" s="7"/>
      <c r="W468" s="7"/>
    </row>
    <row r="469">
      <c r="E469" s="62"/>
      <c r="F469" s="7"/>
      <c r="G469" s="7"/>
      <c r="I469" s="7"/>
      <c r="K469" s="62"/>
      <c r="L469" s="7"/>
      <c r="M469" s="7"/>
      <c r="O469" s="7"/>
      <c r="Q469" s="7"/>
      <c r="S469" s="7"/>
      <c r="U469" s="7"/>
      <c r="W469" s="7"/>
    </row>
    <row r="470">
      <c r="E470" s="62"/>
      <c r="F470" s="7"/>
      <c r="G470" s="7"/>
      <c r="I470" s="7"/>
      <c r="K470" s="62"/>
      <c r="L470" s="7"/>
      <c r="M470" s="7"/>
      <c r="O470" s="7"/>
      <c r="Q470" s="7"/>
      <c r="S470" s="7"/>
      <c r="U470" s="7"/>
      <c r="W470" s="7"/>
    </row>
    <row r="471">
      <c r="E471" s="62"/>
      <c r="F471" s="7"/>
      <c r="G471" s="7"/>
      <c r="I471" s="7"/>
      <c r="K471" s="62"/>
      <c r="L471" s="7"/>
      <c r="M471" s="7"/>
      <c r="O471" s="7"/>
      <c r="Q471" s="7"/>
      <c r="S471" s="7"/>
      <c r="U471" s="7"/>
      <c r="W471" s="7"/>
    </row>
    <row r="472">
      <c r="E472" s="62"/>
      <c r="F472" s="7"/>
      <c r="G472" s="7"/>
      <c r="I472" s="7"/>
      <c r="K472" s="62"/>
      <c r="L472" s="7"/>
      <c r="M472" s="7"/>
      <c r="O472" s="7"/>
      <c r="Q472" s="7"/>
      <c r="S472" s="7"/>
      <c r="U472" s="7"/>
      <c r="W472" s="7"/>
    </row>
    <row r="473">
      <c r="E473" s="62"/>
      <c r="F473" s="7"/>
      <c r="G473" s="7"/>
      <c r="I473" s="7"/>
      <c r="K473" s="62"/>
      <c r="L473" s="7"/>
      <c r="M473" s="7"/>
      <c r="O473" s="7"/>
      <c r="Q473" s="7"/>
      <c r="S473" s="7"/>
      <c r="U473" s="7"/>
      <c r="W473" s="7"/>
    </row>
    <row r="474">
      <c r="E474" s="62"/>
      <c r="F474" s="7"/>
      <c r="G474" s="7"/>
      <c r="I474" s="7"/>
      <c r="K474" s="62"/>
      <c r="L474" s="7"/>
      <c r="M474" s="7"/>
      <c r="O474" s="7"/>
      <c r="Q474" s="7"/>
      <c r="S474" s="7"/>
      <c r="U474" s="7"/>
      <c r="W474" s="7"/>
    </row>
    <row r="475">
      <c r="E475" s="62"/>
      <c r="F475" s="7"/>
      <c r="G475" s="7"/>
      <c r="I475" s="7"/>
      <c r="K475" s="62"/>
      <c r="L475" s="7"/>
      <c r="M475" s="7"/>
      <c r="O475" s="7"/>
      <c r="Q475" s="7"/>
      <c r="S475" s="7"/>
      <c r="U475" s="7"/>
      <c r="W475" s="7"/>
    </row>
    <row r="476">
      <c r="E476" s="62"/>
      <c r="F476" s="7"/>
      <c r="G476" s="7"/>
      <c r="I476" s="7"/>
      <c r="K476" s="62"/>
      <c r="L476" s="7"/>
      <c r="M476" s="7"/>
      <c r="O476" s="7"/>
      <c r="Q476" s="7"/>
      <c r="S476" s="7"/>
      <c r="U476" s="7"/>
      <c r="W476" s="7"/>
    </row>
    <row r="477">
      <c r="E477" s="62"/>
      <c r="F477" s="7"/>
      <c r="G477" s="7"/>
      <c r="I477" s="7"/>
      <c r="K477" s="62"/>
      <c r="L477" s="7"/>
      <c r="M477" s="7"/>
      <c r="O477" s="7"/>
      <c r="Q477" s="7"/>
      <c r="S477" s="7"/>
      <c r="U477" s="7"/>
      <c r="W477" s="7"/>
    </row>
    <row r="478">
      <c r="E478" s="62"/>
      <c r="F478" s="7"/>
      <c r="G478" s="7"/>
      <c r="I478" s="7"/>
      <c r="K478" s="62"/>
      <c r="L478" s="7"/>
      <c r="M478" s="7"/>
      <c r="O478" s="7"/>
      <c r="Q478" s="7"/>
      <c r="S478" s="7"/>
      <c r="U478" s="7"/>
      <c r="W478" s="7"/>
    </row>
    <row r="479">
      <c r="E479" s="62"/>
      <c r="F479" s="7"/>
      <c r="G479" s="7"/>
      <c r="I479" s="7"/>
      <c r="K479" s="62"/>
      <c r="L479" s="7"/>
      <c r="M479" s="7"/>
      <c r="O479" s="7"/>
      <c r="Q479" s="7"/>
      <c r="S479" s="7"/>
      <c r="U479" s="7"/>
      <c r="W479" s="7"/>
    </row>
    <row r="480">
      <c r="E480" s="62"/>
      <c r="F480" s="7"/>
      <c r="G480" s="7"/>
      <c r="I480" s="7"/>
      <c r="K480" s="62"/>
      <c r="L480" s="7"/>
      <c r="M480" s="7"/>
      <c r="O480" s="7"/>
      <c r="Q480" s="7"/>
      <c r="S480" s="7"/>
      <c r="U480" s="7"/>
      <c r="W480" s="7"/>
    </row>
    <row r="481">
      <c r="E481" s="62"/>
      <c r="F481" s="7"/>
      <c r="G481" s="7"/>
      <c r="I481" s="7"/>
      <c r="K481" s="62"/>
      <c r="L481" s="7"/>
      <c r="M481" s="7"/>
      <c r="O481" s="7"/>
      <c r="Q481" s="7"/>
      <c r="S481" s="7"/>
      <c r="U481" s="7"/>
      <c r="W481" s="7"/>
    </row>
    <row r="482">
      <c r="E482" s="62"/>
      <c r="F482" s="7"/>
      <c r="G482" s="7"/>
      <c r="I482" s="7"/>
      <c r="K482" s="62"/>
      <c r="L482" s="7"/>
      <c r="M482" s="7"/>
      <c r="O482" s="7"/>
      <c r="Q482" s="7"/>
      <c r="S482" s="7"/>
      <c r="U482" s="7"/>
      <c r="W482" s="7"/>
    </row>
    <row r="483">
      <c r="E483" s="62"/>
      <c r="F483" s="7"/>
      <c r="G483" s="7"/>
      <c r="I483" s="7"/>
      <c r="K483" s="62"/>
      <c r="L483" s="7"/>
      <c r="M483" s="7"/>
      <c r="O483" s="7"/>
      <c r="Q483" s="7"/>
      <c r="S483" s="7"/>
      <c r="U483" s="7"/>
      <c r="W483" s="7"/>
    </row>
    <row r="484">
      <c r="E484" s="62"/>
      <c r="F484" s="7"/>
      <c r="G484" s="7"/>
      <c r="I484" s="7"/>
      <c r="K484" s="62"/>
      <c r="L484" s="7"/>
      <c r="M484" s="7"/>
      <c r="O484" s="7"/>
      <c r="Q484" s="7"/>
      <c r="S484" s="7"/>
      <c r="U484" s="7"/>
      <c r="W484" s="7"/>
    </row>
    <row r="485">
      <c r="E485" s="62"/>
      <c r="F485" s="7"/>
      <c r="G485" s="7"/>
      <c r="I485" s="7"/>
      <c r="K485" s="62"/>
      <c r="L485" s="7"/>
      <c r="M485" s="7"/>
      <c r="O485" s="7"/>
      <c r="Q485" s="7"/>
      <c r="S485" s="7"/>
      <c r="U485" s="7"/>
      <c r="W485" s="7"/>
    </row>
    <row r="486">
      <c r="E486" s="62"/>
      <c r="F486" s="7"/>
      <c r="G486" s="7"/>
      <c r="I486" s="7"/>
      <c r="K486" s="62"/>
      <c r="L486" s="7"/>
      <c r="M486" s="7"/>
      <c r="O486" s="7"/>
      <c r="Q486" s="7"/>
      <c r="S486" s="7"/>
      <c r="U486" s="7"/>
      <c r="W486" s="7"/>
    </row>
    <row r="487">
      <c r="E487" s="62"/>
      <c r="F487" s="7"/>
      <c r="G487" s="7"/>
      <c r="I487" s="7"/>
      <c r="K487" s="62"/>
      <c r="L487" s="7"/>
      <c r="M487" s="7"/>
      <c r="O487" s="7"/>
      <c r="Q487" s="7"/>
      <c r="S487" s="7"/>
      <c r="U487" s="7"/>
      <c r="W487" s="7"/>
    </row>
    <row r="488">
      <c r="E488" s="62"/>
      <c r="F488" s="7"/>
      <c r="G488" s="7"/>
      <c r="I488" s="7"/>
      <c r="K488" s="62"/>
      <c r="L488" s="7"/>
      <c r="M488" s="7"/>
      <c r="O488" s="7"/>
      <c r="Q488" s="7"/>
      <c r="S488" s="7"/>
      <c r="U488" s="7"/>
      <c r="W488" s="7"/>
    </row>
    <row r="489">
      <c r="E489" s="62"/>
      <c r="F489" s="7"/>
      <c r="G489" s="7"/>
      <c r="I489" s="7"/>
      <c r="K489" s="62"/>
      <c r="L489" s="7"/>
      <c r="M489" s="7"/>
      <c r="O489" s="7"/>
      <c r="Q489" s="7"/>
      <c r="S489" s="7"/>
      <c r="U489" s="7"/>
      <c r="W489" s="7"/>
    </row>
    <row r="490">
      <c r="E490" s="62"/>
      <c r="F490" s="7"/>
      <c r="G490" s="7"/>
      <c r="I490" s="7"/>
      <c r="K490" s="62"/>
      <c r="L490" s="7"/>
      <c r="M490" s="7"/>
      <c r="O490" s="7"/>
      <c r="Q490" s="7"/>
      <c r="S490" s="7"/>
      <c r="U490" s="7"/>
      <c r="W490" s="7"/>
    </row>
    <row r="491">
      <c r="E491" s="62"/>
      <c r="F491" s="7"/>
      <c r="G491" s="7"/>
      <c r="I491" s="7"/>
      <c r="K491" s="62"/>
      <c r="L491" s="7"/>
      <c r="M491" s="7"/>
      <c r="O491" s="7"/>
      <c r="Q491" s="7"/>
      <c r="S491" s="7"/>
      <c r="U491" s="7"/>
      <c r="W491" s="7"/>
    </row>
    <row r="492">
      <c r="E492" s="62"/>
      <c r="F492" s="7"/>
      <c r="G492" s="7"/>
      <c r="I492" s="7"/>
      <c r="K492" s="62"/>
      <c r="L492" s="7"/>
      <c r="M492" s="7"/>
      <c r="O492" s="7"/>
      <c r="Q492" s="7"/>
      <c r="S492" s="7"/>
      <c r="U492" s="7"/>
      <c r="W492" s="7"/>
    </row>
    <row r="493">
      <c r="E493" s="62"/>
      <c r="F493" s="7"/>
      <c r="G493" s="7"/>
      <c r="I493" s="7"/>
      <c r="K493" s="62"/>
      <c r="L493" s="7"/>
      <c r="M493" s="7"/>
      <c r="O493" s="7"/>
      <c r="Q493" s="7"/>
      <c r="S493" s="7"/>
      <c r="U493" s="7"/>
      <c r="W493" s="7"/>
    </row>
    <row r="494">
      <c r="E494" s="62"/>
      <c r="F494" s="7"/>
      <c r="G494" s="7"/>
      <c r="I494" s="7"/>
      <c r="K494" s="62"/>
      <c r="L494" s="7"/>
      <c r="M494" s="7"/>
      <c r="O494" s="7"/>
      <c r="Q494" s="7"/>
      <c r="S494" s="7"/>
      <c r="U494" s="7"/>
      <c r="W494" s="7"/>
    </row>
    <row r="495">
      <c r="E495" s="62"/>
      <c r="F495" s="7"/>
      <c r="G495" s="7"/>
      <c r="I495" s="7"/>
      <c r="K495" s="62"/>
      <c r="L495" s="7"/>
      <c r="M495" s="7"/>
      <c r="O495" s="7"/>
      <c r="Q495" s="7"/>
      <c r="S495" s="7"/>
      <c r="U495" s="7"/>
      <c r="W495" s="7"/>
    </row>
    <row r="496">
      <c r="E496" s="62"/>
      <c r="F496" s="7"/>
      <c r="G496" s="7"/>
      <c r="I496" s="7"/>
      <c r="K496" s="62"/>
      <c r="L496" s="7"/>
      <c r="M496" s="7"/>
      <c r="O496" s="7"/>
      <c r="Q496" s="7"/>
      <c r="S496" s="7"/>
      <c r="U496" s="7"/>
      <c r="W496" s="7"/>
    </row>
    <row r="497">
      <c r="E497" s="62"/>
      <c r="F497" s="7"/>
      <c r="G497" s="7"/>
      <c r="I497" s="7"/>
      <c r="K497" s="62"/>
      <c r="L497" s="7"/>
      <c r="M497" s="7"/>
      <c r="O497" s="7"/>
      <c r="Q497" s="7"/>
      <c r="S497" s="7"/>
      <c r="U497" s="7"/>
      <c r="W497" s="7"/>
    </row>
    <row r="498">
      <c r="E498" s="62"/>
      <c r="F498" s="7"/>
      <c r="G498" s="7"/>
      <c r="I498" s="7"/>
      <c r="K498" s="62"/>
      <c r="L498" s="7"/>
      <c r="M498" s="7"/>
      <c r="O498" s="7"/>
      <c r="Q498" s="7"/>
      <c r="S498" s="7"/>
      <c r="U498" s="7"/>
      <c r="W498" s="7"/>
    </row>
    <row r="499">
      <c r="E499" s="62"/>
      <c r="F499" s="7"/>
      <c r="G499" s="7"/>
      <c r="I499" s="7"/>
      <c r="K499" s="62"/>
      <c r="L499" s="7"/>
      <c r="M499" s="7"/>
      <c r="O499" s="7"/>
      <c r="Q499" s="7"/>
      <c r="S499" s="7"/>
      <c r="U499" s="7"/>
      <c r="W499" s="7"/>
    </row>
    <row r="500">
      <c r="E500" s="62"/>
      <c r="F500" s="7"/>
      <c r="G500" s="7"/>
      <c r="I500" s="7"/>
      <c r="K500" s="62"/>
      <c r="L500" s="7"/>
      <c r="M500" s="7"/>
      <c r="O500" s="7"/>
      <c r="Q500" s="7"/>
      <c r="S500" s="7"/>
      <c r="U500" s="7"/>
      <c r="W500" s="7"/>
    </row>
    <row r="501">
      <c r="E501" s="62"/>
      <c r="F501" s="7"/>
      <c r="G501" s="7"/>
      <c r="I501" s="7"/>
      <c r="K501" s="62"/>
      <c r="L501" s="7"/>
      <c r="M501" s="7"/>
      <c r="O501" s="7"/>
      <c r="Q501" s="7"/>
      <c r="S501" s="7"/>
      <c r="U501" s="7"/>
      <c r="W501" s="7"/>
    </row>
    <row r="502">
      <c r="E502" s="62"/>
      <c r="F502" s="7"/>
      <c r="G502" s="7"/>
      <c r="I502" s="7"/>
      <c r="K502" s="62"/>
      <c r="L502" s="7"/>
      <c r="M502" s="7"/>
      <c r="O502" s="7"/>
      <c r="Q502" s="7"/>
      <c r="S502" s="7"/>
      <c r="U502" s="7"/>
      <c r="W502" s="7"/>
    </row>
    <row r="503">
      <c r="E503" s="62"/>
      <c r="F503" s="7"/>
      <c r="G503" s="7"/>
      <c r="I503" s="7"/>
      <c r="K503" s="62"/>
      <c r="L503" s="7"/>
      <c r="M503" s="7"/>
      <c r="O503" s="7"/>
      <c r="Q503" s="7"/>
      <c r="S503" s="7"/>
      <c r="U503" s="7"/>
      <c r="W503" s="7"/>
    </row>
    <row r="504">
      <c r="E504" s="62"/>
      <c r="F504" s="7"/>
      <c r="G504" s="7"/>
      <c r="I504" s="7"/>
      <c r="K504" s="62"/>
      <c r="L504" s="7"/>
      <c r="M504" s="7"/>
      <c r="O504" s="7"/>
      <c r="Q504" s="7"/>
      <c r="S504" s="7"/>
      <c r="U504" s="7"/>
      <c r="W504" s="7"/>
    </row>
    <row r="505">
      <c r="E505" s="62"/>
      <c r="F505" s="7"/>
      <c r="G505" s="7"/>
      <c r="I505" s="7"/>
      <c r="K505" s="62"/>
      <c r="L505" s="7"/>
      <c r="M505" s="7"/>
      <c r="O505" s="7"/>
      <c r="Q505" s="7"/>
      <c r="S505" s="7"/>
      <c r="U505" s="7"/>
      <c r="W505" s="7"/>
    </row>
    <row r="506">
      <c r="E506" s="62"/>
      <c r="F506" s="7"/>
      <c r="G506" s="7"/>
      <c r="I506" s="7"/>
      <c r="K506" s="62"/>
      <c r="L506" s="7"/>
      <c r="M506" s="7"/>
      <c r="O506" s="7"/>
      <c r="Q506" s="7"/>
      <c r="S506" s="7"/>
      <c r="U506" s="7"/>
      <c r="W506" s="7"/>
    </row>
    <row r="507">
      <c r="E507" s="62"/>
      <c r="F507" s="7"/>
      <c r="G507" s="7"/>
      <c r="I507" s="7"/>
      <c r="K507" s="62"/>
      <c r="L507" s="7"/>
      <c r="M507" s="7"/>
      <c r="O507" s="7"/>
      <c r="Q507" s="7"/>
      <c r="S507" s="7"/>
      <c r="U507" s="7"/>
      <c r="W507" s="7"/>
    </row>
    <row r="508">
      <c r="E508" s="62"/>
      <c r="F508" s="7"/>
      <c r="G508" s="7"/>
      <c r="I508" s="7"/>
      <c r="K508" s="62"/>
      <c r="L508" s="7"/>
      <c r="M508" s="7"/>
      <c r="O508" s="7"/>
      <c r="Q508" s="7"/>
      <c r="S508" s="7"/>
      <c r="U508" s="7"/>
      <c r="W508" s="7"/>
    </row>
    <row r="509">
      <c r="E509" s="62"/>
      <c r="F509" s="7"/>
      <c r="G509" s="7"/>
      <c r="I509" s="7"/>
      <c r="K509" s="62"/>
      <c r="L509" s="7"/>
      <c r="M509" s="7"/>
      <c r="O509" s="7"/>
      <c r="Q509" s="7"/>
      <c r="S509" s="7"/>
      <c r="U509" s="7"/>
      <c r="W509" s="7"/>
    </row>
    <row r="510">
      <c r="E510" s="62"/>
      <c r="F510" s="7"/>
      <c r="G510" s="7"/>
      <c r="I510" s="7"/>
      <c r="K510" s="62"/>
      <c r="L510" s="7"/>
      <c r="M510" s="7"/>
      <c r="O510" s="7"/>
      <c r="Q510" s="7"/>
      <c r="S510" s="7"/>
      <c r="U510" s="7"/>
      <c r="W510" s="7"/>
    </row>
    <row r="511">
      <c r="E511" s="62"/>
      <c r="F511" s="7"/>
      <c r="G511" s="7"/>
      <c r="I511" s="7"/>
      <c r="K511" s="62"/>
      <c r="L511" s="7"/>
      <c r="M511" s="7"/>
      <c r="O511" s="7"/>
      <c r="Q511" s="7"/>
      <c r="S511" s="7"/>
      <c r="U511" s="7"/>
      <c r="W511" s="7"/>
    </row>
    <row r="512">
      <c r="E512" s="62"/>
      <c r="F512" s="7"/>
      <c r="G512" s="7"/>
      <c r="I512" s="7"/>
      <c r="K512" s="62"/>
      <c r="L512" s="7"/>
      <c r="M512" s="7"/>
      <c r="O512" s="7"/>
      <c r="Q512" s="7"/>
      <c r="S512" s="7"/>
      <c r="U512" s="7"/>
      <c r="W512" s="7"/>
    </row>
    <row r="513">
      <c r="E513" s="62"/>
      <c r="F513" s="7"/>
      <c r="G513" s="7"/>
      <c r="I513" s="7"/>
      <c r="K513" s="62"/>
      <c r="L513" s="7"/>
      <c r="M513" s="7"/>
      <c r="O513" s="7"/>
      <c r="Q513" s="7"/>
      <c r="S513" s="7"/>
      <c r="U513" s="7"/>
      <c r="W513" s="7"/>
    </row>
    <row r="514">
      <c r="E514" s="62"/>
      <c r="F514" s="7"/>
      <c r="G514" s="7"/>
      <c r="I514" s="7"/>
      <c r="K514" s="62"/>
      <c r="L514" s="7"/>
      <c r="M514" s="7"/>
      <c r="O514" s="7"/>
      <c r="Q514" s="7"/>
      <c r="S514" s="7"/>
      <c r="U514" s="7"/>
      <c r="W514" s="7"/>
    </row>
    <row r="515">
      <c r="E515" s="62"/>
      <c r="F515" s="7"/>
      <c r="G515" s="7"/>
      <c r="I515" s="7"/>
      <c r="K515" s="62"/>
      <c r="L515" s="7"/>
      <c r="M515" s="7"/>
      <c r="O515" s="7"/>
      <c r="Q515" s="7"/>
      <c r="S515" s="7"/>
      <c r="U515" s="7"/>
      <c r="W515" s="7"/>
    </row>
    <row r="516">
      <c r="E516" s="62"/>
      <c r="F516" s="7"/>
      <c r="G516" s="7"/>
      <c r="I516" s="7"/>
      <c r="K516" s="62"/>
      <c r="L516" s="7"/>
      <c r="M516" s="7"/>
      <c r="O516" s="7"/>
      <c r="Q516" s="7"/>
      <c r="S516" s="7"/>
      <c r="U516" s="7"/>
      <c r="W516" s="7"/>
    </row>
    <row r="517">
      <c r="E517" s="62"/>
      <c r="F517" s="7"/>
      <c r="G517" s="7"/>
      <c r="I517" s="7"/>
      <c r="K517" s="62"/>
      <c r="L517" s="7"/>
      <c r="M517" s="7"/>
      <c r="O517" s="7"/>
      <c r="Q517" s="7"/>
      <c r="S517" s="7"/>
      <c r="U517" s="7"/>
      <c r="W517" s="7"/>
    </row>
    <row r="518">
      <c r="E518" s="62"/>
      <c r="F518" s="7"/>
      <c r="G518" s="7"/>
      <c r="I518" s="7"/>
      <c r="K518" s="62"/>
      <c r="L518" s="7"/>
      <c r="M518" s="7"/>
      <c r="O518" s="7"/>
      <c r="Q518" s="7"/>
      <c r="S518" s="7"/>
      <c r="U518" s="7"/>
      <c r="W518" s="7"/>
    </row>
    <row r="519">
      <c r="E519" s="62"/>
      <c r="F519" s="7"/>
      <c r="G519" s="7"/>
      <c r="I519" s="7"/>
      <c r="K519" s="62"/>
      <c r="L519" s="7"/>
      <c r="M519" s="7"/>
      <c r="O519" s="7"/>
      <c r="Q519" s="7"/>
      <c r="S519" s="7"/>
      <c r="U519" s="7"/>
      <c r="W519" s="7"/>
    </row>
    <row r="520">
      <c r="E520" s="62"/>
      <c r="F520" s="7"/>
      <c r="G520" s="7"/>
      <c r="I520" s="7"/>
      <c r="K520" s="62"/>
      <c r="L520" s="7"/>
      <c r="M520" s="7"/>
      <c r="O520" s="7"/>
      <c r="Q520" s="7"/>
      <c r="S520" s="7"/>
      <c r="U520" s="7"/>
      <c r="W520" s="7"/>
    </row>
    <row r="521">
      <c r="E521" s="62"/>
      <c r="F521" s="7"/>
      <c r="G521" s="7"/>
      <c r="I521" s="7"/>
      <c r="K521" s="62"/>
      <c r="L521" s="7"/>
      <c r="M521" s="7"/>
      <c r="O521" s="7"/>
      <c r="Q521" s="7"/>
      <c r="S521" s="7"/>
      <c r="U521" s="7"/>
      <c r="W521" s="7"/>
    </row>
    <row r="522">
      <c r="E522" s="62"/>
      <c r="F522" s="7"/>
      <c r="G522" s="7"/>
      <c r="I522" s="7"/>
      <c r="K522" s="62"/>
      <c r="L522" s="7"/>
      <c r="M522" s="7"/>
      <c r="O522" s="7"/>
      <c r="Q522" s="7"/>
      <c r="S522" s="7"/>
      <c r="U522" s="7"/>
      <c r="W522" s="7"/>
    </row>
    <row r="523">
      <c r="E523" s="62"/>
      <c r="F523" s="7"/>
      <c r="G523" s="7"/>
      <c r="I523" s="7"/>
      <c r="K523" s="62"/>
      <c r="L523" s="7"/>
      <c r="M523" s="7"/>
      <c r="O523" s="7"/>
      <c r="Q523" s="7"/>
      <c r="S523" s="7"/>
      <c r="U523" s="7"/>
      <c r="W523" s="7"/>
    </row>
    <row r="524">
      <c r="E524" s="62"/>
      <c r="F524" s="7"/>
      <c r="G524" s="7"/>
      <c r="I524" s="7"/>
      <c r="K524" s="62"/>
      <c r="L524" s="7"/>
      <c r="M524" s="7"/>
      <c r="O524" s="7"/>
      <c r="Q524" s="7"/>
      <c r="S524" s="7"/>
      <c r="U524" s="7"/>
      <c r="W524" s="7"/>
    </row>
    <row r="525">
      <c r="E525" s="62"/>
      <c r="F525" s="7"/>
      <c r="G525" s="7"/>
      <c r="I525" s="7"/>
      <c r="K525" s="62"/>
      <c r="L525" s="7"/>
      <c r="M525" s="7"/>
      <c r="O525" s="7"/>
      <c r="Q525" s="7"/>
      <c r="S525" s="7"/>
      <c r="U525" s="7"/>
      <c r="W525" s="7"/>
    </row>
    <row r="526">
      <c r="E526" s="62"/>
      <c r="F526" s="7"/>
      <c r="G526" s="7"/>
      <c r="I526" s="7"/>
      <c r="K526" s="62"/>
      <c r="L526" s="7"/>
      <c r="M526" s="7"/>
      <c r="O526" s="7"/>
      <c r="Q526" s="7"/>
      <c r="S526" s="7"/>
      <c r="U526" s="7"/>
      <c r="W526" s="7"/>
    </row>
    <row r="527">
      <c r="E527" s="62"/>
      <c r="F527" s="7"/>
      <c r="G527" s="7"/>
      <c r="I527" s="7"/>
      <c r="K527" s="62"/>
      <c r="L527" s="7"/>
      <c r="M527" s="7"/>
      <c r="O527" s="7"/>
      <c r="Q527" s="7"/>
      <c r="S527" s="7"/>
      <c r="U527" s="7"/>
      <c r="W527" s="7"/>
    </row>
    <row r="528">
      <c r="E528" s="62"/>
      <c r="F528" s="7"/>
      <c r="G528" s="7"/>
      <c r="I528" s="7"/>
      <c r="K528" s="62"/>
      <c r="L528" s="7"/>
      <c r="M528" s="7"/>
      <c r="O528" s="7"/>
      <c r="Q528" s="7"/>
      <c r="S528" s="7"/>
      <c r="U528" s="7"/>
      <c r="W528" s="7"/>
    </row>
    <row r="529">
      <c r="E529" s="62"/>
      <c r="F529" s="7"/>
      <c r="G529" s="7"/>
      <c r="I529" s="7"/>
      <c r="K529" s="62"/>
      <c r="L529" s="7"/>
      <c r="M529" s="7"/>
      <c r="O529" s="7"/>
      <c r="Q529" s="7"/>
      <c r="S529" s="7"/>
      <c r="U529" s="7"/>
      <c r="W529" s="7"/>
    </row>
    <row r="530">
      <c r="E530" s="62"/>
      <c r="F530" s="7"/>
      <c r="G530" s="7"/>
      <c r="I530" s="7"/>
      <c r="K530" s="62"/>
      <c r="L530" s="7"/>
      <c r="M530" s="7"/>
      <c r="O530" s="7"/>
      <c r="Q530" s="7"/>
      <c r="S530" s="7"/>
      <c r="U530" s="7"/>
      <c r="W530" s="7"/>
    </row>
    <row r="531">
      <c r="E531" s="62"/>
      <c r="F531" s="7"/>
      <c r="G531" s="7"/>
      <c r="I531" s="7"/>
      <c r="K531" s="62"/>
      <c r="L531" s="7"/>
      <c r="M531" s="7"/>
      <c r="O531" s="7"/>
      <c r="Q531" s="7"/>
      <c r="S531" s="7"/>
      <c r="U531" s="7"/>
      <c r="W531" s="7"/>
    </row>
    <row r="532">
      <c r="E532" s="62"/>
      <c r="F532" s="7"/>
      <c r="G532" s="7"/>
      <c r="I532" s="7"/>
      <c r="K532" s="62"/>
      <c r="L532" s="7"/>
      <c r="M532" s="7"/>
      <c r="O532" s="7"/>
      <c r="Q532" s="7"/>
      <c r="S532" s="7"/>
      <c r="U532" s="7"/>
      <c r="W532" s="7"/>
    </row>
    <row r="533">
      <c r="E533" s="62"/>
      <c r="F533" s="7"/>
      <c r="G533" s="7"/>
      <c r="I533" s="7"/>
      <c r="K533" s="62"/>
      <c r="L533" s="7"/>
      <c r="M533" s="7"/>
      <c r="O533" s="7"/>
      <c r="Q533" s="7"/>
      <c r="S533" s="7"/>
      <c r="U533" s="7"/>
      <c r="W533" s="7"/>
    </row>
    <row r="534">
      <c r="E534" s="62"/>
      <c r="F534" s="7"/>
      <c r="G534" s="7"/>
      <c r="I534" s="7"/>
      <c r="K534" s="62"/>
      <c r="L534" s="7"/>
      <c r="M534" s="7"/>
      <c r="O534" s="7"/>
      <c r="Q534" s="7"/>
      <c r="S534" s="7"/>
      <c r="U534" s="7"/>
      <c r="W534" s="7"/>
    </row>
    <row r="535">
      <c r="E535" s="62"/>
      <c r="F535" s="7"/>
      <c r="G535" s="7"/>
      <c r="I535" s="7"/>
      <c r="K535" s="62"/>
      <c r="L535" s="7"/>
      <c r="M535" s="7"/>
      <c r="O535" s="7"/>
      <c r="Q535" s="7"/>
      <c r="S535" s="7"/>
      <c r="U535" s="7"/>
      <c r="W535" s="7"/>
    </row>
    <row r="536">
      <c r="E536" s="62"/>
      <c r="F536" s="7"/>
      <c r="G536" s="7"/>
      <c r="I536" s="7"/>
      <c r="K536" s="62"/>
      <c r="L536" s="7"/>
      <c r="M536" s="7"/>
      <c r="O536" s="7"/>
      <c r="Q536" s="7"/>
      <c r="S536" s="7"/>
      <c r="U536" s="7"/>
      <c r="W536" s="7"/>
    </row>
    <row r="537">
      <c r="E537" s="62"/>
      <c r="F537" s="7"/>
      <c r="G537" s="7"/>
      <c r="I537" s="7"/>
      <c r="K537" s="62"/>
      <c r="L537" s="7"/>
      <c r="M537" s="7"/>
      <c r="O537" s="7"/>
      <c r="Q537" s="7"/>
      <c r="S537" s="7"/>
      <c r="U537" s="7"/>
      <c r="W537" s="7"/>
    </row>
    <row r="538">
      <c r="E538" s="62"/>
      <c r="F538" s="7"/>
      <c r="G538" s="7"/>
      <c r="I538" s="7"/>
      <c r="K538" s="62"/>
      <c r="L538" s="7"/>
      <c r="M538" s="7"/>
      <c r="O538" s="7"/>
      <c r="Q538" s="7"/>
      <c r="S538" s="7"/>
      <c r="U538" s="7"/>
      <c r="W538" s="7"/>
    </row>
    <row r="539">
      <c r="E539" s="62"/>
      <c r="F539" s="7"/>
      <c r="G539" s="7"/>
      <c r="I539" s="7"/>
      <c r="K539" s="62"/>
      <c r="L539" s="7"/>
      <c r="M539" s="7"/>
      <c r="O539" s="7"/>
      <c r="Q539" s="7"/>
      <c r="S539" s="7"/>
      <c r="U539" s="7"/>
      <c r="W539" s="7"/>
    </row>
    <row r="540">
      <c r="E540" s="62"/>
      <c r="F540" s="7"/>
      <c r="G540" s="7"/>
      <c r="I540" s="7"/>
      <c r="K540" s="62"/>
      <c r="L540" s="7"/>
      <c r="M540" s="7"/>
      <c r="O540" s="7"/>
      <c r="Q540" s="7"/>
      <c r="S540" s="7"/>
      <c r="U540" s="7"/>
      <c r="W540" s="7"/>
    </row>
    <row r="541">
      <c r="E541" s="62"/>
      <c r="F541" s="7"/>
      <c r="G541" s="7"/>
      <c r="I541" s="7"/>
      <c r="K541" s="62"/>
      <c r="L541" s="7"/>
      <c r="M541" s="7"/>
      <c r="O541" s="7"/>
      <c r="Q541" s="7"/>
      <c r="S541" s="7"/>
      <c r="U541" s="7"/>
      <c r="W541" s="7"/>
    </row>
    <row r="542">
      <c r="E542" s="62"/>
      <c r="F542" s="7"/>
      <c r="G542" s="7"/>
      <c r="I542" s="7"/>
      <c r="K542" s="62"/>
      <c r="L542" s="7"/>
      <c r="M542" s="7"/>
      <c r="O542" s="7"/>
      <c r="Q542" s="7"/>
      <c r="S542" s="7"/>
      <c r="U542" s="7"/>
      <c r="W542" s="7"/>
    </row>
    <row r="543">
      <c r="E543" s="62"/>
      <c r="F543" s="7"/>
      <c r="G543" s="7"/>
      <c r="I543" s="7"/>
      <c r="K543" s="62"/>
      <c r="L543" s="7"/>
      <c r="M543" s="7"/>
      <c r="O543" s="7"/>
      <c r="Q543" s="7"/>
      <c r="S543" s="7"/>
      <c r="U543" s="7"/>
      <c r="W543" s="7"/>
    </row>
    <row r="544">
      <c r="E544" s="62"/>
      <c r="F544" s="7"/>
      <c r="G544" s="7"/>
      <c r="I544" s="7"/>
      <c r="K544" s="62"/>
      <c r="L544" s="7"/>
      <c r="M544" s="7"/>
      <c r="O544" s="7"/>
      <c r="Q544" s="7"/>
      <c r="S544" s="7"/>
      <c r="U544" s="7"/>
      <c r="W544" s="7"/>
    </row>
    <row r="545">
      <c r="E545" s="62"/>
      <c r="F545" s="7"/>
      <c r="G545" s="7"/>
      <c r="I545" s="7"/>
      <c r="K545" s="62"/>
      <c r="L545" s="7"/>
      <c r="M545" s="7"/>
      <c r="O545" s="7"/>
      <c r="Q545" s="7"/>
      <c r="S545" s="7"/>
      <c r="U545" s="7"/>
      <c r="W545" s="7"/>
    </row>
    <row r="546">
      <c r="E546" s="62"/>
      <c r="F546" s="7"/>
      <c r="G546" s="7"/>
      <c r="I546" s="7"/>
      <c r="K546" s="62"/>
      <c r="L546" s="7"/>
      <c r="M546" s="7"/>
      <c r="O546" s="7"/>
      <c r="Q546" s="7"/>
      <c r="S546" s="7"/>
      <c r="U546" s="7"/>
      <c r="W546" s="7"/>
    </row>
    <row r="547">
      <c r="E547" s="62"/>
      <c r="F547" s="7"/>
      <c r="G547" s="7"/>
      <c r="I547" s="7"/>
      <c r="K547" s="62"/>
      <c r="L547" s="7"/>
      <c r="M547" s="7"/>
      <c r="O547" s="7"/>
      <c r="Q547" s="7"/>
      <c r="S547" s="7"/>
      <c r="U547" s="7"/>
      <c r="W547" s="7"/>
    </row>
    <row r="548">
      <c r="E548" s="62"/>
      <c r="F548" s="7"/>
      <c r="G548" s="7"/>
      <c r="I548" s="7"/>
      <c r="K548" s="62"/>
      <c r="L548" s="7"/>
      <c r="M548" s="7"/>
      <c r="O548" s="7"/>
      <c r="Q548" s="7"/>
      <c r="S548" s="7"/>
      <c r="U548" s="7"/>
      <c r="W548" s="7"/>
    </row>
    <row r="549">
      <c r="E549" s="62"/>
      <c r="F549" s="7"/>
      <c r="G549" s="7"/>
      <c r="I549" s="7"/>
      <c r="K549" s="62"/>
      <c r="L549" s="7"/>
      <c r="M549" s="7"/>
      <c r="O549" s="7"/>
      <c r="Q549" s="7"/>
      <c r="S549" s="7"/>
      <c r="U549" s="7"/>
      <c r="W549" s="7"/>
    </row>
    <row r="550">
      <c r="E550" s="62"/>
      <c r="F550" s="7"/>
      <c r="G550" s="7"/>
      <c r="I550" s="7"/>
      <c r="K550" s="62"/>
      <c r="L550" s="7"/>
      <c r="M550" s="7"/>
      <c r="O550" s="7"/>
      <c r="Q550" s="7"/>
      <c r="S550" s="7"/>
      <c r="U550" s="7"/>
      <c r="W550" s="7"/>
    </row>
    <row r="551">
      <c r="E551" s="62"/>
      <c r="F551" s="7"/>
      <c r="G551" s="7"/>
      <c r="I551" s="7"/>
      <c r="K551" s="62"/>
      <c r="L551" s="7"/>
      <c r="M551" s="7"/>
      <c r="O551" s="7"/>
      <c r="Q551" s="7"/>
      <c r="S551" s="7"/>
      <c r="U551" s="7"/>
      <c r="W551" s="7"/>
    </row>
    <row r="552">
      <c r="E552" s="62"/>
      <c r="F552" s="7"/>
      <c r="G552" s="7"/>
      <c r="I552" s="7"/>
      <c r="K552" s="62"/>
      <c r="L552" s="7"/>
      <c r="M552" s="7"/>
      <c r="O552" s="7"/>
      <c r="Q552" s="7"/>
      <c r="S552" s="7"/>
      <c r="U552" s="7"/>
      <c r="W552" s="7"/>
    </row>
    <row r="553">
      <c r="E553" s="62"/>
      <c r="F553" s="7"/>
      <c r="G553" s="7"/>
      <c r="I553" s="7"/>
      <c r="K553" s="62"/>
      <c r="L553" s="7"/>
      <c r="M553" s="7"/>
      <c r="O553" s="7"/>
      <c r="Q553" s="7"/>
      <c r="S553" s="7"/>
      <c r="U553" s="7"/>
      <c r="W553" s="7"/>
    </row>
    <row r="554">
      <c r="E554" s="62"/>
      <c r="F554" s="7"/>
      <c r="G554" s="7"/>
      <c r="I554" s="7"/>
      <c r="K554" s="62"/>
      <c r="L554" s="7"/>
      <c r="M554" s="7"/>
      <c r="O554" s="7"/>
      <c r="Q554" s="7"/>
      <c r="S554" s="7"/>
      <c r="U554" s="7"/>
      <c r="W554" s="7"/>
    </row>
    <row r="555">
      <c r="E555" s="62"/>
      <c r="F555" s="7"/>
      <c r="G555" s="7"/>
      <c r="I555" s="7"/>
      <c r="K555" s="62"/>
      <c r="L555" s="7"/>
      <c r="M555" s="7"/>
      <c r="O555" s="7"/>
      <c r="Q555" s="7"/>
      <c r="S555" s="7"/>
      <c r="U555" s="7"/>
      <c r="W555" s="7"/>
    </row>
    <row r="556">
      <c r="E556" s="62"/>
      <c r="F556" s="7"/>
      <c r="G556" s="7"/>
      <c r="I556" s="7"/>
      <c r="K556" s="62"/>
      <c r="L556" s="7"/>
      <c r="M556" s="7"/>
      <c r="O556" s="7"/>
      <c r="Q556" s="7"/>
      <c r="S556" s="7"/>
      <c r="U556" s="7"/>
      <c r="W556" s="7"/>
    </row>
    <row r="557">
      <c r="E557" s="62"/>
      <c r="F557" s="7"/>
      <c r="G557" s="7"/>
      <c r="I557" s="7"/>
      <c r="K557" s="62"/>
      <c r="L557" s="7"/>
      <c r="M557" s="7"/>
      <c r="O557" s="7"/>
      <c r="Q557" s="7"/>
      <c r="S557" s="7"/>
      <c r="U557" s="7"/>
      <c r="W557" s="7"/>
    </row>
    <row r="558">
      <c r="E558" s="62"/>
      <c r="F558" s="7"/>
      <c r="G558" s="7"/>
      <c r="I558" s="7"/>
      <c r="K558" s="62"/>
      <c r="L558" s="7"/>
      <c r="M558" s="7"/>
      <c r="O558" s="7"/>
      <c r="Q558" s="7"/>
      <c r="S558" s="7"/>
      <c r="U558" s="7"/>
      <c r="W558" s="7"/>
    </row>
    <row r="559">
      <c r="E559" s="62"/>
      <c r="F559" s="7"/>
      <c r="G559" s="7"/>
      <c r="I559" s="7"/>
      <c r="K559" s="62"/>
      <c r="L559" s="7"/>
      <c r="M559" s="7"/>
      <c r="O559" s="7"/>
      <c r="Q559" s="7"/>
      <c r="S559" s="7"/>
      <c r="U559" s="7"/>
      <c r="W559" s="7"/>
    </row>
    <row r="560">
      <c r="E560" s="62"/>
      <c r="F560" s="7"/>
      <c r="G560" s="7"/>
      <c r="I560" s="7"/>
      <c r="K560" s="62"/>
      <c r="L560" s="7"/>
      <c r="M560" s="7"/>
      <c r="O560" s="7"/>
      <c r="Q560" s="7"/>
      <c r="S560" s="7"/>
      <c r="U560" s="7"/>
      <c r="W560" s="7"/>
    </row>
    <row r="561">
      <c r="E561" s="62"/>
      <c r="F561" s="7"/>
      <c r="G561" s="7"/>
      <c r="I561" s="7"/>
      <c r="K561" s="62"/>
      <c r="L561" s="7"/>
      <c r="M561" s="7"/>
      <c r="O561" s="7"/>
      <c r="Q561" s="7"/>
      <c r="S561" s="7"/>
      <c r="U561" s="7"/>
      <c r="W561" s="7"/>
    </row>
    <row r="562">
      <c r="E562" s="62"/>
      <c r="F562" s="7"/>
      <c r="G562" s="7"/>
      <c r="I562" s="7"/>
      <c r="K562" s="62"/>
      <c r="L562" s="7"/>
      <c r="M562" s="7"/>
      <c r="O562" s="7"/>
      <c r="Q562" s="7"/>
      <c r="S562" s="7"/>
      <c r="U562" s="7"/>
      <c r="W562" s="7"/>
    </row>
    <row r="563">
      <c r="E563" s="62"/>
      <c r="F563" s="7"/>
      <c r="G563" s="7"/>
      <c r="I563" s="7"/>
      <c r="K563" s="62"/>
      <c r="L563" s="7"/>
      <c r="M563" s="7"/>
      <c r="O563" s="7"/>
      <c r="Q563" s="7"/>
      <c r="S563" s="7"/>
      <c r="U563" s="7"/>
      <c r="W563" s="7"/>
    </row>
    <row r="564">
      <c r="E564" s="62"/>
      <c r="F564" s="7"/>
      <c r="G564" s="7"/>
      <c r="I564" s="7"/>
      <c r="K564" s="62"/>
      <c r="L564" s="7"/>
      <c r="M564" s="7"/>
      <c r="O564" s="7"/>
      <c r="Q564" s="7"/>
      <c r="S564" s="7"/>
      <c r="U564" s="7"/>
      <c r="W564" s="7"/>
    </row>
    <row r="565">
      <c r="E565" s="62"/>
      <c r="F565" s="7"/>
      <c r="G565" s="7"/>
      <c r="I565" s="7"/>
      <c r="K565" s="62"/>
      <c r="L565" s="7"/>
      <c r="M565" s="7"/>
      <c r="O565" s="7"/>
      <c r="Q565" s="7"/>
      <c r="S565" s="7"/>
      <c r="U565" s="7"/>
      <c r="W565" s="7"/>
    </row>
    <row r="566">
      <c r="E566" s="62"/>
      <c r="F566" s="7"/>
      <c r="G566" s="7"/>
      <c r="I566" s="7"/>
      <c r="K566" s="62"/>
      <c r="L566" s="7"/>
      <c r="M566" s="7"/>
      <c r="O566" s="7"/>
      <c r="Q566" s="7"/>
      <c r="S566" s="7"/>
      <c r="U566" s="7"/>
      <c r="W566" s="7"/>
    </row>
    <row r="567">
      <c r="E567" s="62"/>
      <c r="F567" s="7"/>
      <c r="G567" s="7"/>
      <c r="I567" s="7"/>
      <c r="K567" s="62"/>
      <c r="L567" s="7"/>
      <c r="M567" s="7"/>
      <c r="O567" s="7"/>
      <c r="Q567" s="7"/>
      <c r="S567" s="7"/>
      <c r="U567" s="7"/>
      <c r="W567" s="7"/>
    </row>
    <row r="568">
      <c r="E568" s="62"/>
      <c r="F568" s="7"/>
      <c r="G568" s="7"/>
      <c r="I568" s="7"/>
      <c r="K568" s="62"/>
      <c r="L568" s="7"/>
      <c r="M568" s="7"/>
      <c r="O568" s="7"/>
      <c r="Q568" s="7"/>
      <c r="S568" s="7"/>
      <c r="U568" s="7"/>
      <c r="W568" s="7"/>
    </row>
    <row r="569">
      <c r="E569" s="62"/>
      <c r="F569" s="7"/>
      <c r="G569" s="7"/>
      <c r="I569" s="7"/>
      <c r="K569" s="62"/>
      <c r="L569" s="7"/>
      <c r="M569" s="7"/>
      <c r="O569" s="7"/>
      <c r="Q569" s="7"/>
      <c r="S569" s="7"/>
      <c r="U569" s="7"/>
      <c r="W569" s="7"/>
    </row>
    <row r="570">
      <c r="E570" s="62"/>
      <c r="F570" s="7"/>
      <c r="G570" s="7"/>
      <c r="I570" s="7"/>
      <c r="K570" s="62"/>
      <c r="L570" s="7"/>
      <c r="M570" s="7"/>
      <c r="O570" s="7"/>
      <c r="Q570" s="7"/>
      <c r="S570" s="7"/>
      <c r="U570" s="7"/>
      <c r="W570" s="7"/>
    </row>
    <row r="571">
      <c r="E571" s="62"/>
      <c r="F571" s="7"/>
      <c r="G571" s="7"/>
      <c r="I571" s="7"/>
      <c r="K571" s="62"/>
      <c r="L571" s="7"/>
      <c r="M571" s="7"/>
      <c r="O571" s="7"/>
      <c r="Q571" s="7"/>
      <c r="S571" s="7"/>
      <c r="U571" s="7"/>
      <c r="W571" s="7"/>
    </row>
    <row r="572">
      <c r="E572" s="62"/>
      <c r="F572" s="7"/>
      <c r="G572" s="7"/>
      <c r="I572" s="7"/>
      <c r="K572" s="62"/>
      <c r="L572" s="7"/>
      <c r="M572" s="7"/>
      <c r="O572" s="7"/>
      <c r="Q572" s="7"/>
      <c r="S572" s="7"/>
      <c r="U572" s="7"/>
      <c r="W572" s="7"/>
    </row>
    <row r="573">
      <c r="E573" s="62"/>
      <c r="F573" s="7"/>
      <c r="G573" s="7"/>
      <c r="I573" s="7"/>
      <c r="K573" s="62"/>
      <c r="L573" s="7"/>
      <c r="M573" s="7"/>
      <c r="O573" s="7"/>
      <c r="Q573" s="7"/>
      <c r="S573" s="7"/>
      <c r="U573" s="7"/>
      <c r="W573" s="7"/>
    </row>
    <row r="574">
      <c r="E574" s="62"/>
      <c r="F574" s="7"/>
      <c r="G574" s="7"/>
      <c r="I574" s="7"/>
      <c r="K574" s="62"/>
      <c r="L574" s="7"/>
      <c r="M574" s="7"/>
      <c r="O574" s="7"/>
      <c r="Q574" s="7"/>
      <c r="S574" s="7"/>
      <c r="U574" s="7"/>
      <c r="W574" s="7"/>
    </row>
    <row r="575">
      <c r="E575" s="62"/>
      <c r="F575" s="7"/>
      <c r="G575" s="7"/>
      <c r="I575" s="7"/>
      <c r="K575" s="62"/>
      <c r="L575" s="7"/>
      <c r="M575" s="7"/>
      <c r="O575" s="7"/>
      <c r="Q575" s="7"/>
      <c r="S575" s="7"/>
      <c r="U575" s="7"/>
      <c r="W575" s="7"/>
    </row>
    <row r="576">
      <c r="E576" s="62"/>
      <c r="F576" s="7"/>
      <c r="G576" s="7"/>
      <c r="I576" s="7"/>
      <c r="K576" s="62"/>
      <c r="L576" s="7"/>
      <c r="M576" s="7"/>
      <c r="O576" s="7"/>
      <c r="Q576" s="7"/>
      <c r="S576" s="7"/>
      <c r="U576" s="7"/>
      <c r="W576" s="7"/>
    </row>
    <row r="577">
      <c r="E577" s="62"/>
      <c r="F577" s="7"/>
      <c r="G577" s="7"/>
      <c r="I577" s="7"/>
      <c r="K577" s="62"/>
      <c r="L577" s="7"/>
      <c r="M577" s="7"/>
      <c r="O577" s="7"/>
      <c r="Q577" s="7"/>
      <c r="S577" s="7"/>
      <c r="U577" s="7"/>
      <c r="W577" s="7"/>
    </row>
    <row r="578">
      <c r="E578" s="62"/>
      <c r="F578" s="7"/>
      <c r="G578" s="7"/>
      <c r="I578" s="7"/>
      <c r="K578" s="62"/>
      <c r="L578" s="7"/>
      <c r="M578" s="7"/>
      <c r="O578" s="7"/>
      <c r="Q578" s="7"/>
      <c r="S578" s="7"/>
      <c r="U578" s="7"/>
      <c r="W578" s="7"/>
    </row>
    <row r="579">
      <c r="E579" s="62"/>
      <c r="F579" s="7"/>
      <c r="G579" s="7"/>
      <c r="I579" s="7"/>
      <c r="K579" s="62"/>
      <c r="L579" s="7"/>
      <c r="M579" s="7"/>
      <c r="O579" s="7"/>
      <c r="Q579" s="7"/>
      <c r="S579" s="7"/>
      <c r="U579" s="7"/>
      <c r="W579" s="7"/>
    </row>
    <row r="580">
      <c r="E580" s="62"/>
      <c r="F580" s="7"/>
      <c r="G580" s="7"/>
      <c r="I580" s="7"/>
      <c r="K580" s="62"/>
      <c r="L580" s="7"/>
      <c r="M580" s="7"/>
      <c r="O580" s="7"/>
      <c r="Q580" s="7"/>
      <c r="S580" s="7"/>
      <c r="U580" s="7"/>
      <c r="W580" s="7"/>
    </row>
    <row r="581">
      <c r="E581" s="62"/>
      <c r="F581" s="7"/>
      <c r="G581" s="7"/>
      <c r="I581" s="7"/>
      <c r="K581" s="62"/>
      <c r="L581" s="7"/>
      <c r="M581" s="7"/>
      <c r="O581" s="7"/>
      <c r="Q581" s="7"/>
      <c r="S581" s="7"/>
      <c r="U581" s="7"/>
      <c r="W581" s="7"/>
    </row>
    <row r="582">
      <c r="E582" s="62"/>
      <c r="F582" s="7"/>
      <c r="G582" s="7"/>
      <c r="I582" s="7"/>
      <c r="K582" s="62"/>
      <c r="L582" s="7"/>
      <c r="M582" s="7"/>
      <c r="O582" s="7"/>
      <c r="Q582" s="7"/>
      <c r="S582" s="7"/>
      <c r="U582" s="7"/>
      <c r="W582" s="7"/>
    </row>
    <row r="583">
      <c r="E583" s="62"/>
      <c r="F583" s="7"/>
      <c r="G583" s="7"/>
      <c r="I583" s="7"/>
      <c r="K583" s="62"/>
      <c r="L583" s="7"/>
      <c r="M583" s="7"/>
      <c r="O583" s="7"/>
      <c r="Q583" s="7"/>
      <c r="S583" s="7"/>
      <c r="U583" s="7"/>
      <c r="W583" s="7"/>
    </row>
    <row r="584">
      <c r="E584" s="62"/>
      <c r="F584" s="7"/>
      <c r="G584" s="7"/>
      <c r="I584" s="7"/>
      <c r="K584" s="62"/>
      <c r="L584" s="7"/>
      <c r="M584" s="7"/>
      <c r="O584" s="7"/>
      <c r="Q584" s="7"/>
      <c r="S584" s="7"/>
      <c r="U584" s="7"/>
      <c r="W584" s="7"/>
    </row>
    <row r="585">
      <c r="E585" s="62"/>
      <c r="F585" s="7"/>
      <c r="G585" s="7"/>
      <c r="I585" s="7"/>
      <c r="K585" s="62"/>
      <c r="L585" s="7"/>
      <c r="M585" s="7"/>
      <c r="O585" s="7"/>
      <c r="Q585" s="7"/>
      <c r="S585" s="7"/>
      <c r="U585" s="7"/>
      <c r="W585" s="7"/>
    </row>
    <row r="586">
      <c r="E586" s="62"/>
      <c r="F586" s="7"/>
      <c r="G586" s="7"/>
      <c r="I586" s="7"/>
      <c r="K586" s="62"/>
      <c r="L586" s="7"/>
      <c r="M586" s="7"/>
      <c r="O586" s="7"/>
      <c r="Q586" s="7"/>
      <c r="S586" s="7"/>
      <c r="U586" s="7"/>
      <c r="W586" s="7"/>
    </row>
    <row r="587">
      <c r="E587" s="62"/>
      <c r="F587" s="7"/>
      <c r="G587" s="7"/>
      <c r="I587" s="7"/>
      <c r="K587" s="62"/>
      <c r="L587" s="7"/>
      <c r="M587" s="7"/>
      <c r="O587" s="7"/>
      <c r="Q587" s="7"/>
      <c r="S587" s="7"/>
      <c r="U587" s="7"/>
      <c r="W587" s="7"/>
    </row>
    <row r="588">
      <c r="E588" s="62"/>
      <c r="F588" s="7"/>
      <c r="G588" s="7"/>
      <c r="I588" s="7"/>
      <c r="K588" s="62"/>
      <c r="L588" s="7"/>
      <c r="M588" s="7"/>
      <c r="O588" s="7"/>
      <c r="Q588" s="7"/>
      <c r="S588" s="7"/>
      <c r="U588" s="7"/>
      <c r="W588" s="7"/>
    </row>
    <row r="589">
      <c r="E589" s="62"/>
      <c r="F589" s="7"/>
      <c r="G589" s="7"/>
      <c r="I589" s="7"/>
      <c r="K589" s="62"/>
      <c r="L589" s="7"/>
      <c r="M589" s="7"/>
      <c r="O589" s="7"/>
      <c r="Q589" s="7"/>
      <c r="S589" s="7"/>
      <c r="U589" s="7"/>
      <c r="W589" s="7"/>
    </row>
    <row r="590">
      <c r="E590" s="62"/>
      <c r="F590" s="7"/>
      <c r="G590" s="7"/>
      <c r="I590" s="7"/>
      <c r="K590" s="62"/>
      <c r="L590" s="7"/>
      <c r="M590" s="7"/>
      <c r="O590" s="7"/>
      <c r="Q590" s="7"/>
      <c r="S590" s="7"/>
      <c r="U590" s="7"/>
      <c r="W590" s="7"/>
    </row>
    <row r="591">
      <c r="E591" s="62"/>
      <c r="F591" s="7"/>
      <c r="G591" s="7"/>
      <c r="I591" s="7"/>
      <c r="K591" s="62"/>
      <c r="L591" s="7"/>
      <c r="M591" s="7"/>
      <c r="O591" s="7"/>
      <c r="Q591" s="7"/>
      <c r="S591" s="7"/>
      <c r="U591" s="7"/>
      <c r="W591" s="7"/>
    </row>
    <row r="592">
      <c r="E592" s="62"/>
      <c r="F592" s="7"/>
      <c r="G592" s="7"/>
      <c r="I592" s="7"/>
      <c r="K592" s="62"/>
      <c r="L592" s="7"/>
      <c r="M592" s="7"/>
      <c r="O592" s="7"/>
      <c r="Q592" s="7"/>
      <c r="S592" s="7"/>
      <c r="U592" s="7"/>
      <c r="W592" s="7"/>
    </row>
    <row r="593">
      <c r="E593" s="62"/>
      <c r="F593" s="7"/>
      <c r="G593" s="7"/>
      <c r="I593" s="7"/>
      <c r="K593" s="62"/>
      <c r="L593" s="7"/>
      <c r="M593" s="7"/>
      <c r="O593" s="7"/>
      <c r="Q593" s="7"/>
      <c r="S593" s="7"/>
      <c r="U593" s="7"/>
      <c r="W593" s="7"/>
    </row>
    <row r="594">
      <c r="E594" s="62"/>
      <c r="F594" s="7"/>
      <c r="G594" s="7"/>
      <c r="I594" s="7"/>
      <c r="K594" s="62"/>
      <c r="L594" s="7"/>
      <c r="M594" s="7"/>
      <c r="O594" s="7"/>
      <c r="Q594" s="7"/>
      <c r="S594" s="7"/>
      <c r="U594" s="7"/>
      <c r="W594" s="7"/>
    </row>
    <row r="595">
      <c r="E595" s="62"/>
      <c r="F595" s="7"/>
      <c r="G595" s="7"/>
      <c r="I595" s="7"/>
      <c r="K595" s="62"/>
      <c r="L595" s="7"/>
      <c r="M595" s="7"/>
      <c r="O595" s="7"/>
      <c r="Q595" s="7"/>
      <c r="S595" s="7"/>
      <c r="U595" s="7"/>
      <c r="W595" s="7"/>
    </row>
    <row r="596">
      <c r="E596" s="62"/>
      <c r="F596" s="7"/>
      <c r="G596" s="7"/>
      <c r="I596" s="7"/>
      <c r="K596" s="62"/>
      <c r="L596" s="7"/>
      <c r="M596" s="7"/>
      <c r="O596" s="7"/>
      <c r="Q596" s="7"/>
      <c r="S596" s="7"/>
      <c r="U596" s="7"/>
      <c r="W596" s="7"/>
    </row>
    <row r="597">
      <c r="E597" s="62"/>
      <c r="F597" s="7"/>
      <c r="G597" s="7"/>
      <c r="I597" s="7"/>
      <c r="K597" s="62"/>
      <c r="L597" s="7"/>
      <c r="M597" s="7"/>
      <c r="O597" s="7"/>
      <c r="Q597" s="7"/>
      <c r="S597" s="7"/>
      <c r="U597" s="7"/>
      <c r="W597" s="7"/>
    </row>
    <row r="598">
      <c r="E598" s="62"/>
      <c r="F598" s="7"/>
      <c r="G598" s="7"/>
      <c r="I598" s="7"/>
      <c r="K598" s="62"/>
      <c r="L598" s="7"/>
      <c r="M598" s="7"/>
      <c r="O598" s="7"/>
      <c r="Q598" s="7"/>
      <c r="S598" s="7"/>
      <c r="U598" s="7"/>
      <c r="W598" s="7"/>
    </row>
    <row r="599">
      <c r="E599" s="62"/>
      <c r="F599" s="7"/>
      <c r="G599" s="7"/>
      <c r="I599" s="7"/>
      <c r="K599" s="62"/>
      <c r="L599" s="7"/>
      <c r="M599" s="7"/>
      <c r="O599" s="7"/>
      <c r="Q599" s="7"/>
      <c r="S599" s="7"/>
      <c r="U599" s="7"/>
      <c r="W599" s="7"/>
    </row>
    <row r="600">
      <c r="E600" s="62"/>
      <c r="F600" s="7"/>
      <c r="G600" s="7"/>
      <c r="I600" s="7"/>
      <c r="K600" s="62"/>
      <c r="L600" s="7"/>
      <c r="M600" s="7"/>
      <c r="O600" s="7"/>
      <c r="Q600" s="7"/>
      <c r="S600" s="7"/>
      <c r="U600" s="7"/>
      <c r="W600" s="7"/>
    </row>
    <row r="601">
      <c r="E601" s="62"/>
      <c r="F601" s="7"/>
      <c r="G601" s="7"/>
      <c r="I601" s="7"/>
      <c r="K601" s="62"/>
      <c r="L601" s="7"/>
      <c r="M601" s="7"/>
      <c r="O601" s="7"/>
      <c r="Q601" s="7"/>
      <c r="S601" s="7"/>
      <c r="U601" s="7"/>
      <c r="W601" s="7"/>
    </row>
    <row r="602">
      <c r="E602" s="62"/>
      <c r="F602" s="7"/>
      <c r="G602" s="7"/>
      <c r="I602" s="7"/>
      <c r="K602" s="62"/>
      <c r="L602" s="7"/>
      <c r="M602" s="7"/>
      <c r="O602" s="7"/>
      <c r="Q602" s="7"/>
      <c r="S602" s="7"/>
      <c r="U602" s="7"/>
      <c r="W602" s="7"/>
    </row>
    <row r="603">
      <c r="E603" s="62"/>
      <c r="F603" s="7"/>
      <c r="G603" s="7"/>
      <c r="I603" s="7"/>
      <c r="K603" s="62"/>
      <c r="L603" s="7"/>
      <c r="M603" s="7"/>
      <c r="O603" s="7"/>
      <c r="Q603" s="7"/>
      <c r="S603" s="7"/>
      <c r="U603" s="7"/>
      <c r="W603" s="7"/>
    </row>
    <row r="604">
      <c r="E604" s="62"/>
      <c r="F604" s="7"/>
      <c r="G604" s="7"/>
      <c r="I604" s="7"/>
      <c r="K604" s="62"/>
      <c r="L604" s="7"/>
      <c r="M604" s="7"/>
      <c r="O604" s="7"/>
      <c r="Q604" s="7"/>
      <c r="S604" s="7"/>
      <c r="U604" s="7"/>
      <c r="W604" s="7"/>
    </row>
    <row r="605">
      <c r="E605" s="62"/>
      <c r="F605" s="7"/>
      <c r="G605" s="7"/>
      <c r="I605" s="7"/>
      <c r="K605" s="62"/>
      <c r="L605" s="7"/>
      <c r="M605" s="7"/>
      <c r="O605" s="7"/>
      <c r="Q605" s="7"/>
      <c r="S605" s="7"/>
      <c r="U605" s="7"/>
      <c r="W605" s="7"/>
    </row>
    <row r="606">
      <c r="E606" s="62"/>
      <c r="F606" s="7"/>
      <c r="G606" s="7"/>
      <c r="I606" s="7"/>
      <c r="K606" s="62"/>
      <c r="L606" s="7"/>
      <c r="M606" s="7"/>
      <c r="O606" s="7"/>
      <c r="Q606" s="7"/>
      <c r="S606" s="7"/>
      <c r="U606" s="7"/>
      <c r="W606" s="7"/>
    </row>
    <row r="607">
      <c r="E607" s="62"/>
      <c r="F607" s="7"/>
      <c r="G607" s="7"/>
      <c r="I607" s="7"/>
      <c r="K607" s="62"/>
      <c r="L607" s="7"/>
      <c r="M607" s="7"/>
      <c r="O607" s="7"/>
      <c r="Q607" s="7"/>
      <c r="S607" s="7"/>
      <c r="U607" s="7"/>
      <c r="W607" s="7"/>
    </row>
    <row r="608">
      <c r="E608" s="62"/>
      <c r="F608" s="7"/>
      <c r="G608" s="7"/>
      <c r="I608" s="7"/>
      <c r="K608" s="62"/>
      <c r="L608" s="7"/>
      <c r="M608" s="7"/>
      <c r="O608" s="7"/>
      <c r="Q608" s="7"/>
      <c r="S608" s="7"/>
      <c r="U608" s="7"/>
      <c r="W608" s="7"/>
    </row>
    <row r="609">
      <c r="E609" s="62"/>
      <c r="F609" s="7"/>
      <c r="G609" s="7"/>
      <c r="I609" s="7"/>
      <c r="K609" s="62"/>
      <c r="L609" s="7"/>
      <c r="M609" s="7"/>
      <c r="O609" s="7"/>
      <c r="Q609" s="7"/>
      <c r="S609" s="7"/>
      <c r="U609" s="7"/>
      <c r="W609" s="7"/>
    </row>
    <row r="610">
      <c r="E610" s="62"/>
      <c r="F610" s="7"/>
      <c r="G610" s="7"/>
      <c r="I610" s="7"/>
      <c r="K610" s="62"/>
      <c r="L610" s="7"/>
      <c r="M610" s="7"/>
      <c r="O610" s="7"/>
      <c r="Q610" s="7"/>
      <c r="S610" s="7"/>
      <c r="U610" s="7"/>
      <c r="W610" s="7"/>
    </row>
    <row r="611">
      <c r="E611" s="62"/>
      <c r="F611" s="7"/>
      <c r="G611" s="7"/>
      <c r="I611" s="7"/>
      <c r="K611" s="62"/>
      <c r="L611" s="7"/>
      <c r="M611" s="7"/>
      <c r="O611" s="7"/>
      <c r="Q611" s="7"/>
      <c r="S611" s="7"/>
      <c r="U611" s="7"/>
      <c r="W611" s="7"/>
    </row>
    <row r="612">
      <c r="E612" s="62"/>
      <c r="F612" s="7"/>
      <c r="G612" s="7"/>
      <c r="I612" s="7"/>
      <c r="K612" s="62"/>
      <c r="L612" s="7"/>
      <c r="M612" s="7"/>
      <c r="O612" s="7"/>
      <c r="Q612" s="7"/>
      <c r="S612" s="7"/>
      <c r="U612" s="7"/>
      <c r="W612" s="7"/>
    </row>
    <row r="613">
      <c r="E613" s="62"/>
      <c r="F613" s="7"/>
      <c r="G613" s="7"/>
      <c r="I613" s="7"/>
      <c r="K613" s="62"/>
      <c r="L613" s="7"/>
      <c r="M613" s="7"/>
      <c r="O613" s="7"/>
      <c r="Q613" s="7"/>
      <c r="S613" s="7"/>
      <c r="U613" s="7"/>
      <c r="W613" s="7"/>
    </row>
    <row r="614">
      <c r="E614" s="62"/>
      <c r="F614" s="7"/>
      <c r="G614" s="7"/>
      <c r="I614" s="7"/>
      <c r="K614" s="62"/>
      <c r="L614" s="7"/>
      <c r="M614" s="7"/>
      <c r="O614" s="7"/>
      <c r="Q614" s="7"/>
      <c r="S614" s="7"/>
      <c r="U614" s="7"/>
      <c r="W614" s="7"/>
    </row>
    <row r="615">
      <c r="E615" s="62"/>
      <c r="F615" s="7"/>
      <c r="G615" s="7"/>
      <c r="I615" s="7"/>
      <c r="K615" s="62"/>
      <c r="L615" s="7"/>
      <c r="M615" s="7"/>
      <c r="O615" s="7"/>
      <c r="Q615" s="7"/>
      <c r="S615" s="7"/>
      <c r="U615" s="7"/>
      <c r="W615" s="7"/>
    </row>
    <row r="616">
      <c r="E616" s="62"/>
      <c r="F616" s="7"/>
      <c r="G616" s="7"/>
      <c r="I616" s="7"/>
      <c r="K616" s="62"/>
      <c r="L616" s="7"/>
      <c r="M616" s="7"/>
      <c r="O616" s="7"/>
      <c r="Q616" s="7"/>
      <c r="S616" s="7"/>
      <c r="U616" s="7"/>
      <c r="W616" s="7"/>
    </row>
    <row r="617">
      <c r="E617" s="62"/>
      <c r="F617" s="7"/>
      <c r="G617" s="7"/>
      <c r="I617" s="7"/>
      <c r="K617" s="62"/>
      <c r="L617" s="7"/>
      <c r="M617" s="7"/>
      <c r="O617" s="7"/>
      <c r="Q617" s="7"/>
      <c r="S617" s="7"/>
      <c r="U617" s="7"/>
      <c r="W617" s="7"/>
    </row>
    <row r="618">
      <c r="E618" s="62"/>
      <c r="F618" s="7"/>
      <c r="G618" s="7"/>
      <c r="I618" s="7"/>
      <c r="K618" s="62"/>
      <c r="L618" s="7"/>
      <c r="M618" s="7"/>
      <c r="O618" s="7"/>
      <c r="Q618" s="7"/>
      <c r="S618" s="7"/>
      <c r="U618" s="7"/>
      <c r="W618" s="7"/>
    </row>
    <row r="619">
      <c r="E619" s="62"/>
      <c r="F619" s="7"/>
      <c r="G619" s="7"/>
      <c r="I619" s="7"/>
      <c r="K619" s="62"/>
      <c r="L619" s="7"/>
      <c r="M619" s="7"/>
      <c r="O619" s="7"/>
      <c r="Q619" s="7"/>
      <c r="S619" s="7"/>
      <c r="U619" s="7"/>
      <c r="W619" s="7"/>
    </row>
    <row r="620">
      <c r="E620" s="62"/>
      <c r="F620" s="7"/>
      <c r="G620" s="7"/>
      <c r="I620" s="7"/>
      <c r="K620" s="62"/>
      <c r="L620" s="7"/>
      <c r="M620" s="7"/>
      <c r="O620" s="7"/>
      <c r="Q620" s="7"/>
      <c r="S620" s="7"/>
      <c r="U620" s="7"/>
      <c r="W620" s="7"/>
    </row>
    <row r="621">
      <c r="E621" s="62"/>
      <c r="F621" s="7"/>
      <c r="G621" s="7"/>
      <c r="I621" s="7"/>
      <c r="K621" s="62"/>
      <c r="L621" s="7"/>
      <c r="M621" s="7"/>
      <c r="O621" s="7"/>
      <c r="Q621" s="7"/>
      <c r="S621" s="7"/>
      <c r="U621" s="7"/>
      <c r="W621" s="7"/>
    </row>
    <row r="622">
      <c r="E622" s="62"/>
      <c r="F622" s="7"/>
      <c r="G622" s="7"/>
      <c r="I622" s="7"/>
      <c r="K622" s="62"/>
      <c r="L622" s="7"/>
      <c r="M622" s="7"/>
      <c r="O622" s="7"/>
      <c r="Q622" s="7"/>
      <c r="S622" s="7"/>
      <c r="U622" s="7"/>
      <c r="W622" s="7"/>
    </row>
    <row r="623">
      <c r="E623" s="62"/>
      <c r="F623" s="7"/>
      <c r="G623" s="7"/>
      <c r="I623" s="7"/>
      <c r="K623" s="62"/>
      <c r="L623" s="7"/>
      <c r="M623" s="7"/>
      <c r="O623" s="7"/>
      <c r="Q623" s="7"/>
      <c r="S623" s="7"/>
      <c r="U623" s="7"/>
      <c r="W623" s="7"/>
    </row>
    <row r="624">
      <c r="E624" s="62"/>
      <c r="F624" s="7"/>
      <c r="G624" s="7"/>
      <c r="I624" s="7"/>
      <c r="K624" s="62"/>
      <c r="L624" s="7"/>
      <c r="M624" s="7"/>
      <c r="O624" s="7"/>
      <c r="Q624" s="7"/>
      <c r="S624" s="7"/>
      <c r="U624" s="7"/>
      <c r="W624" s="7"/>
    </row>
    <row r="625">
      <c r="E625" s="62"/>
      <c r="F625" s="7"/>
      <c r="G625" s="7"/>
      <c r="I625" s="7"/>
      <c r="K625" s="62"/>
      <c r="L625" s="7"/>
      <c r="M625" s="7"/>
      <c r="O625" s="7"/>
      <c r="Q625" s="7"/>
      <c r="S625" s="7"/>
      <c r="U625" s="7"/>
      <c r="W625" s="7"/>
    </row>
    <row r="626">
      <c r="E626" s="62"/>
      <c r="F626" s="7"/>
      <c r="G626" s="7"/>
      <c r="I626" s="7"/>
      <c r="K626" s="62"/>
      <c r="L626" s="7"/>
      <c r="M626" s="7"/>
      <c r="O626" s="7"/>
      <c r="Q626" s="7"/>
      <c r="S626" s="7"/>
      <c r="U626" s="7"/>
      <c r="W626" s="7"/>
    </row>
    <row r="627">
      <c r="E627" s="62"/>
      <c r="F627" s="7"/>
      <c r="G627" s="7"/>
      <c r="I627" s="7"/>
      <c r="K627" s="62"/>
      <c r="L627" s="7"/>
      <c r="M627" s="7"/>
      <c r="O627" s="7"/>
      <c r="Q627" s="7"/>
      <c r="S627" s="7"/>
      <c r="U627" s="7"/>
      <c r="W627" s="7"/>
    </row>
    <row r="628">
      <c r="E628" s="62"/>
      <c r="F628" s="7"/>
      <c r="G628" s="7"/>
      <c r="I628" s="7"/>
      <c r="K628" s="62"/>
      <c r="L628" s="7"/>
      <c r="M628" s="7"/>
      <c r="O628" s="7"/>
      <c r="Q628" s="7"/>
      <c r="S628" s="7"/>
      <c r="U628" s="7"/>
      <c r="W628" s="7"/>
    </row>
    <row r="629">
      <c r="E629" s="62"/>
      <c r="F629" s="7"/>
      <c r="G629" s="7"/>
      <c r="I629" s="7"/>
      <c r="K629" s="62"/>
      <c r="L629" s="7"/>
      <c r="M629" s="7"/>
      <c r="O629" s="7"/>
      <c r="Q629" s="7"/>
      <c r="S629" s="7"/>
      <c r="U629" s="7"/>
      <c r="W629" s="7"/>
    </row>
    <row r="630">
      <c r="E630" s="62"/>
      <c r="F630" s="7"/>
      <c r="G630" s="7"/>
      <c r="I630" s="7"/>
      <c r="K630" s="62"/>
      <c r="L630" s="7"/>
      <c r="M630" s="7"/>
      <c r="O630" s="7"/>
      <c r="Q630" s="7"/>
      <c r="S630" s="7"/>
      <c r="U630" s="7"/>
      <c r="W630" s="7"/>
    </row>
    <row r="631">
      <c r="E631" s="62"/>
      <c r="F631" s="7"/>
      <c r="G631" s="7"/>
      <c r="I631" s="7"/>
      <c r="K631" s="62"/>
      <c r="L631" s="7"/>
      <c r="M631" s="7"/>
      <c r="O631" s="7"/>
      <c r="Q631" s="7"/>
      <c r="S631" s="7"/>
      <c r="U631" s="7"/>
      <c r="W631" s="7"/>
    </row>
    <row r="632">
      <c r="E632" s="62"/>
      <c r="F632" s="7"/>
      <c r="G632" s="7"/>
      <c r="I632" s="7"/>
      <c r="K632" s="62"/>
      <c r="L632" s="7"/>
      <c r="M632" s="7"/>
      <c r="O632" s="7"/>
      <c r="Q632" s="7"/>
      <c r="S632" s="7"/>
      <c r="U632" s="7"/>
      <c r="W632" s="7"/>
    </row>
    <row r="633">
      <c r="E633" s="62"/>
      <c r="F633" s="7"/>
      <c r="G633" s="7"/>
      <c r="I633" s="7"/>
      <c r="K633" s="62"/>
      <c r="L633" s="7"/>
      <c r="M633" s="7"/>
      <c r="O633" s="7"/>
      <c r="Q633" s="7"/>
      <c r="S633" s="7"/>
      <c r="U633" s="7"/>
      <c r="W633" s="7"/>
    </row>
    <row r="634">
      <c r="E634" s="62"/>
      <c r="F634" s="7"/>
      <c r="G634" s="7"/>
      <c r="I634" s="7"/>
      <c r="K634" s="62"/>
      <c r="L634" s="7"/>
      <c r="M634" s="7"/>
      <c r="O634" s="7"/>
      <c r="Q634" s="7"/>
      <c r="S634" s="7"/>
      <c r="U634" s="7"/>
      <c r="W634" s="7"/>
    </row>
    <row r="635">
      <c r="E635" s="62"/>
      <c r="F635" s="7"/>
      <c r="G635" s="7"/>
      <c r="I635" s="7"/>
      <c r="K635" s="62"/>
      <c r="L635" s="7"/>
      <c r="M635" s="7"/>
      <c r="O635" s="7"/>
      <c r="Q635" s="7"/>
      <c r="S635" s="7"/>
      <c r="U635" s="7"/>
      <c r="W635" s="7"/>
    </row>
    <row r="636">
      <c r="E636" s="62"/>
      <c r="F636" s="7"/>
      <c r="G636" s="7"/>
      <c r="I636" s="7"/>
      <c r="K636" s="62"/>
      <c r="L636" s="7"/>
      <c r="M636" s="7"/>
      <c r="O636" s="7"/>
      <c r="Q636" s="7"/>
      <c r="S636" s="7"/>
      <c r="U636" s="7"/>
      <c r="W636" s="7"/>
    </row>
    <row r="637">
      <c r="E637" s="62"/>
      <c r="F637" s="7"/>
      <c r="G637" s="7"/>
      <c r="I637" s="7"/>
      <c r="K637" s="62"/>
      <c r="L637" s="7"/>
      <c r="M637" s="7"/>
      <c r="O637" s="7"/>
      <c r="Q637" s="7"/>
      <c r="S637" s="7"/>
      <c r="U637" s="7"/>
      <c r="W637" s="7"/>
    </row>
    <row r="638">
      <c r="E638" s="62"/>
      <c r="F638" s="7"/>
      <c r="G638" s="7"/>
      <c r="I638" s="7"/>
      <c r="K638" s="62"/>
      <c r="L638" s="7"/>
      <c r="M638" s="7"/>
      <c r="O638" s="7"/>
      <c r="Q638" s="7"/>
      <c r="S638" s="7"/>
      <c r="U638" s="7"/>
      <c r="W638" s="7"/>
    </row>
    <row r="639">
      <c r="E639" s="62"/>
      <c r="F639" s="7"/>
      <c r="G639" s="7"/>
      <c r="I639" s="7"/>
      <c r="K639" s="62"/>
      <c r="L639" s="7"/>
      <c r="M639" s="7"/>
      <c r="O639" s="7"/>
      <c r="Q639" s="7"/>
      <c r="S639" s="7"/>
      <c r="U639" s="7"/>
      <c r="W639" s="7"/>
    </row>
    <row r="640">
      <c r="E640" s="62"/>
      <c r="F640" s="7"/>
      <c r="G640" s="7"/>
      <c r="I640" s="7"/>
      <c r="K640" s="62"/>
      <c r="L640" s="7"/>
      <c r="M640" s="7"/>
      <c r="O640" s="7"/>
      <c r="Q640" s="7"/>
      <c r="S640" s="7"/>
      <c r="U640" s="7"/>
      <c r="W640" s="7"/>
    </row>
    <row r="641">
      <c r="E641" s="62"/>
      <c r="F641" s="7"/>
      <c r="G641" s="7"/>
      <c r="I641" s="7"/>
      <c r="K641" s="62"/>
      <c r="L641" s="7"/>
      <c r="M641" s="7"/>
      <c r="O641" s="7"/>
      <c r="Q641" s="7"/>
      <c r="S641" s="7"/>
      <c r="U641" s="7"/>
      <c r="W641" s="7"/>
    </row>
    <row r="642">
      <c r="E642" s="62"/>
      <c r="F642" s="7"/>
      <c r="G642" s="7"/>
      <c r="I642" s="7"/>
      <c r="K642" s="62"/>
      <c r="L642" s="7"/>
      <c r="M642" s="7"/>
      <c r="O642" s="7"/>
      <c r="Q642" s="7"/>
      <c r="S642" s="7"/>
      <c r="U642" s="7"/>
      <c r="W642" s="7"/>
    </row>
    <row r="643">
      <c r="E643" s="62"/>
      <c r="F643" s="7"/>
      <c r="G643" s="7"/>
      <c r="I643" s="7"/>
      <c r="K643" s="62"/>
      <c r="L643" s="7"/>
      <c r="M643" s="7"/>
      <c r="O643" s="7"/>
      <c r="Q643" s="7"/>
      <c r="S643" s="7"/>
      <c r="U643" s="7"/>
      <c r="W643" s="7"/>
    </row>
    <row r="644">
      <c r="E644" s="62"/>
      <c r="F644" s="7"/>
      <c r="G644" s="7"/>
      <c r="I644" s="7"/>
      <c r="K644" s="62"/>
      <c r="L644" s="7"/>
      <c r="M644" s="7"/>
      <c r="O644" s="7"/>
      <c r="Q644" s="7"/>
      <c r="S644" s="7"/>
      <c r="U644" s="7"/>
      <c r="W644" s="7"/>
    </row>
    <row r="645">
      <c r="E645" s="62"/>
      <c r="F645" s="7"/>
      <c r="G645" s="7"/>
      <c r="I645" s="7"/>
      <c r="K645" s="62"/>
      <c r="L645" s="7"/>
      <c r="M645" s="7"/>
      <c r="O645" s="7"/>
      <c r="Q645" s="7"/>
      <c r="S645" s="7"/>
      <c r="U645" s="7"/>
      <c r="W645" s="7"/>
    </row>
    <row r="646">
      <c r="E646" s="62"/>
      <c r="F646" s="7"/>
      <c r="G646" s="7"/>
      <c r="I646" s="7"/>
      <c r="K646" s="62"/>
      <c r="L646" s="7"/>
      <c r="M646" s="7"/>
      <c r="O646" s="7"/>
      <c r="Q646" s="7"/>
      <c r="S646" s="7"/>
      <c r="U646" s="7"/>
      <c r="W646" s="7"/>
    </row>
    <row r="647">
      <c r="E647" s="62"/>
      <c r="F647" s="7"/>
      <c r="G647" s="7"/>
      <c r="I647" s="7"/>
      <c r="K647" s="62"/>
      <c r="L647" s="7"/>
      <c r="M647" s="7"/>
      <c r="O647" s="7"/>
      <c r="Q647" s="7"/>
      <c r="S647" s="7"/>
      <c r="U647" s="7"/>
      <c r="W647" s="7"/>
    </row>
    <row r="648">
      <c r="E648" s="62"/>
      <c r="F648" s="7"/>
      <c r="G648" s="7"/>
      <c r="I648" s="7"/>
      <c r="K648" s="62"/>
      <c r="L648" s="7"/>
      <c r="M648" s="7"/>
      <c r="O648" s="7"/>
      <c r="Q648" s="7"/>
      <c r="S648" s="7"/>
      <c r="U648" s="7"/>
      <c r="W648" s="7"/>
    </row>
    <row r="649">
      <c r="E649" s="62"/>
      <c r="F649" s="7"/>
      <c r="G649" s="7"/>
      <c r="I649" s="7"/>
      <c r="K649" s="62"/>
      <c r="L649" s="7"/>
      <c r="M649" s="7"/>
      <c r="O649" s="7"/>
      <c r="Q649" s="7"/>
      <c r="S649" s="7"/>
      <c r="U649" s="7"/>
      <c r="W649" s="7"/>
    </row>
    <row r="650">
      <c r="E650" s="62"/>
      <c r="F650" s="7"/>
      <c r="G650" s="7"/>
      <c r="I650" s="7"/>
      <c r="K650" s="62"/>
      <c r="L650" s="7"/>
      <c r="M650" s="7"/>
      <c r="O650" s="7"/>
      <c r="Q650" s="7"/>
      <c r="S650" s="7"/>
      <c r="U650" s="7"/>
      <c r="W650" s="7"/>
    </row>
    <row r="651">
      <c r="E651" s="62"/>
      <c r="F651" s="7"/>
      <c r="G651" s="7"/>
      <c r="I651" s="7"/>
      <c r="K651" s="62"/>
      <c r="L651" s="7"/>
      <c r="M651" s="7"/>
      <c r="O651" s="7"/>
      <c r="Q651" s="7"/>
      <c r="S651" s="7"/>
      <c r="U651" s="7"/>
      <c r="W651" s="7"/>
    </row>
    <row r="652">
      <c r="E652" s="62"/>
      <c r="F652" s="7"/>
      <c r="G652" s="7"/>
      <c r="I652" s="7"/>
      <c r="K652" s="62"/>
      <c r="L652" s="7"/>
      <c r="M652" s="7"/>
      <c r="O652" s="7"/>
      <c r="Q652" s="7"/>
      <c r="S652" s="7"/>
      <c r="U652" s="7"/>
      <c r="W652" s="7"/>
    </row>
    <row r="653">
      <c r="E653" s="62"/>
      <c r="F653" s="7"/>
      <c r="G653" s="7"/>
      <c r="I653" s="7"/>
      <c r="K653" s="62"/>
      <c r="L653" s="7"/>
      <c r="M653" s="7"/>
      <c r="O653" s="7"/>
      <c r="Q653" s="7"/>
      <c r="S653" s="7"/>
      <c r="U653" s="7"/>
      <c r="W653" s="7"/>
    </row>
    <row r="654">
      <c r="E654" s="62"/>
      <c r="F654" s="7"/>
      <c r="G654" s="7"/>
      <c r="I654" s="7"/>
      <c r="K654" s="62"/>
      <c r="L654" s="7"/>
      <c r="M654" s="7"/>
      <c r="O654" s="7"/>
      <c r="Q654" s="7"/>
      <c r="S654" s="7"/>
      <c r="U654" s="7"/>
      <c r="W654" s="7"/>
    </row>
    <row r="655">
      <c r="E655" s="62"/>
      <c r="F655" s="7"/>
      <c r="G655" s="7"/>
      <c r="I655" s="7"/>
      <c r="K655" s="62"/>
      <c r="L655" s="7"/>
      <c r="M655" s="7"/>
      <c r="O655" s="7"/>
      <c r="Q655" s="7"/>
      <c r="S655" s="7"/>
      <c r="U655" s="7"/>
      <c r="W655" s="7"/>
    </row>
    <row r="656">
      <c r="E656" s="62"/>
      <c r="F656" s="7"/>
      <c r="G656" s="7"/>
      <c r="I656" s="7"/>
      <c r="K656" s="62"/>
      <c r="L656" s="7"/>
      <c r="M656" s="7"/>
      <c r="O656" s="7"/>
      <c r="Q656" s="7"/>
      <c r="S656" s="7"/>
      <c r="U656" s="7"/>
      <c r="W656" s="7"/>
    </row>
    <row r="657">
      <c r="E657" s="62"/>
      <c r="F657" s="7"/>
      <c r="G657" s="7"/>
      <c r="I657" s="7"/>
      <c r="K657" s="62"/>
      <c r="L657" s="7"/>
      <c r="M657" s="7"/>
      <c r="O657" s="7"/>
      <c r="Q657" s="7"/>
      <c r="S657" s="7"/>
      <c r="U657" s="7"/>
      <c r="W657" s="7"/>
    </row>
    <row r="658">
      <c r="E658" s="62"/>
      <c r="F658" s="7"/>
      <c r="G658" s="7"/>
      <c r="I658" s="7"/>
      <c r="K658" s="62"/>
      <c r="L658" s="7"/>
      <c r="M658" s="7"/>
      <c r="O658" s="7"/>
      <c r="Q658" s="7"/>
      <c r="S658" s="7"/>
      <c r="U658" s="7"/>
      <c r="W658" s="7"/>
    </row>
    <row r="659">
      <c r="E659" s="62"/>
      <c r="F659" s="7"/>
      <c r="G659" s="7"/>
      <c r="I659" s="7"/>
      <c r="K659" s="62"/>
      <c r="L659" s="7"/>
      <c r="M659" s="7"/>
      <c r="O659" s="7"/>
      <c r="Q659" s="7"/>
      <c r="S659" s="7"/>
      <c r="U659" s="7"/>
      <c r="W659" s="7"/>
    </row>
    <row r="660">
      <c r="E660" s="62"/>
      <c r="F660" s="7"/>
      <c r="G660" s="7"/>
      <c r="I660" s="7"/>
      <c r="K660" s="62"/>
      <c r="L660" s="7"/>
      <c r="M660" s="7"/>
      <c r="O660" s="7"/>
      <c r="Q660" s="7"/>
      <c r="S660" s="7"/>
      <c r="U660" s="7"/>
      <c r="W660" s="7"/>
    </row>
    <row r="661">
      <c r="E661" s="62"/>
      <c r="F661" s="7"/>
      <c r="G661" s="7"/>
      <c r="I661" s="7"/>
      <c r="K661" s="62"/>
      <c r="L661" s="7"/>
      <c r="M661" s="7"/>
      <c r="O661" s="7"/>
      <c r="Q661" s="7"/>
      <c r="S661" s="7"/>
      <c r="U661" s="7"/>
      <c r="W661" s="7"/>
    </row>
    <row r="662">
      <c r="E662" s="62"/>
      <c r="F662" s="7"/>
      <c r="G662" s="7"/>
      <c r="I662" s="7"/>
      <c r="K662" s="62"/>
      <c r="L662" s="7"/>
      <c r="M662" s="7"/>
      <c r="O662" s="7"/>
      <c r="Q662" s="7"/>
      <c r="S662" s="7"/>
      <c r="U662" s="7"/>
      <c r="W662" s="7"/>
    </row>
    <row r="663">
      <c r="E663" s="62"/>
      <c r="F663" s="7"/>
      <c r="G663" s="7"/>
      <c r="I663" s="7"/>
      <c r="K663" s="62"/>
      <c r="L663" s="7"/>
      <c r="M663" s="7"/>
      <c r="O663" s="7"/>
      <c r="Q663" s="7"/>
      <c r="S663" s="7"/>
      <c r="U663" s="7"/>
      <c r="W663" s="7"/>
    </row>
    <row r="664">
      <c r="E664" s="62"/>
      <c r="F664" s="7"/>
      <c r="G664" s="7"/>
      <c r="I664" s="7"/>
      <c r="K664" s="62"/>
      <c r="L664" s="7"/>
      <c r="M664" s="7"/>
      <c r="O664" s="7"/>
      <c r="Q664" s="7"/>
      <c r="S664" s="7"/>
      <c r="U664" s="7"/>
      <c r="W664" s="7"/>
    </row>
    <row r="665">
      <c r="E665" s="62"/>
      <c r="F665" s="7"/>
      <c r="G665" s="7"/>
      <c r="I665" s="7"/>
      <c r="K665" s="62"/>
      <c r="L665" s="7"/>
      <c r="M665" s="7"/>
      <c r="O665" s="7"/>
      <c r="Q665" s="7"/>
      <c r="S665" s="7"/>
      <c r="U665" s="7"/>
      <c r="W665" s="7"/>
    </row>
    <row r="666">
      <c r="E666" s="62"/>
      <c r="F666" s="7"/>
      <c r="G666" s="7"/>
      <c r="I666" s="7"/>
      <c r="K666" s="62"/>
      <c r="L666" s="7"/>
      <c r="M666" s="7"/>
      <c r="O666" s="7"/>
      <c r="Q666" s="7"/>
      <c r="S666" s="7"/>
      <c r="U666" s="7"/>
      <c r="W666" s="7"/>
    </row>
    <row r="667">
      <c r="E667" s="62"/>
      <c r="F667" s="7"/>
      <c r="G667" s="7"/>
      <c r="I667" s="7"/>
      <c r="K667" s="62"/>
      <c r="L667" s="7"/>
      <c r="M667" s="7"/>
      <c r="O667" s="7"/>
      <c r="Q667" s="7"/>
      <c r="S667" s="7"/>
      <c r="U667" s="7"/>
      <c r="W667" s="7"/>
    </row>
    <row r="668">
      <c r="E668" s="62"/>
      <c r="F668" s="7"/>
      <c r="G668" s="7"/>
      <c r="I668" s="7"/>
      <c r="K668" s="62"/>
      <c r="L668" s="7"/>
      <c r="M668" s="7"/>
      <c r="O668" s="7"/>
      <c r="Q668" s="7"/>
      <c r="S668" s="7"/>
      <c r="U668" s="7"/>
      <c r="W668" s="7"/>
    </row>
    <row r="669">
      <c r="E669" s="62"/>
      <c r="F669" s="7"/>
      <c r="G669" s="7"/>
      <c r="I669" s="7"/>
      <c r="K669" s="62"/>
      <c r="L669" s="7"/>
      <c r="M669" s="7"/>
      <c r="O669" s="7"/>
      <c r="Q669" s="7"/>
      <c r="S669" s="7"/>
      <c r="U669" s="7"/>
      <c r="W669" s="7"/>
    </row>
    <row r="670">
      <c r="E670" s="62"/>
      <c r="F670" s="7"/>
      <c r="G670" s="7"/>
      <c r="I670" s="7"/>
      <c r="K670" s="62"/>
      <c r="L670" s="7"/>
      <c r="M670" s="7"/>
      <c r="O670" s="7"/>
      <c r="Q670" s="7"/>
      <c r="S670" s="7"/>
      <c r="U670" s="7"/>
      <c r="W670" s="7"/>
    </row>
    <row r="671">
      <c r="E671" s="62"/>
      <c r="F671" s="7"/>
      <c r="G671" s="7"/>
      <c r="I671" s="7"/>
      <c r="K671" s="62"/>
      <c r="L671" s="7"/>
      <c r="M671" s="7"/>
      <c r="O671" s="7"/>
      <c r="Q671" s="7"/>
      <c r="S671" s="7"/>
      <c r="U671" s="7"/>
      <c r="W671" s="7"/>
    </row>
    <row r="672">
      <c r="E672" s="62"/>
      <c r="F672" s="7"/>
      <c r="G672" s="7"/>
      <c r="I672" s="7"/>
      <c r="K672" s="62"/>
      <c r="L672" s="7"/>
      <c r="M672" s="7"/>
      <c r="O672" s="7"/>
      <c r="Q672" s="7"/>
      <c r="S672" s="7"/>
      <c r="U672" s="7"/>
      <c r="W672" s="7"/>
    </row>
    <row r="673">
      <c r="E673" s="62"/>
      <c r="F673" s="7"/>
      <c r="G673" s="7"/>
      <c r="I673" s="7"/>
      <c r="K673" s="62"/>
      <c r="L673" s="7"/>
      <c r="M673" s="7"/>
      <c r="O673" s="7"/>
      <c r="Q673" s="7"/>
      <c r="S673" s="7"/>
      <c r="U673" s="7"/>
      <c r="W673" s="7"/>
    </row>
    <row r="674">
      <c r="E674" s="62"/>
      <c r="F674" s="7"/>
      <c r="G674" s="7"/>
      <c r="I674" s="7"/>
      <c r="K674" s="62"/>
      <c r="L674" s="7"/>
      <c r="M674" s="7"/>
      <c r="O674" s="7"/>
      <c r="Q674" s="7"/>
      <c r="S674" s="7"/>
      <c r="U674" s="7"/>
      <c r="W674" s="7"/>
    </row>
    <row r="675">
      <c r="E675" s="62"/>
      <c r="F675" s="7"/>
      <c r="G675" s="7"/>
      <c r="I675" s="7"/>
      <c r="K675" s="62"/>
      <c r="L675" s="7"/>
      <c r="M675" s="7"/>
      <c r="O675" s="7"/>
      <c r="Q675" s="7"/>
      <c r="S675" s="7"/>
      <c r="U675" s="7"/>
      <c r="W675" s="7"/>
    </row>
    <row r="676">
      <c r="E676" s="62"/>
      <c r="F676" s="7"/>
      <c r="G676" s="7"/>
      <c r="I676" s="7"/>
      <c r="K676" s="62"/>
      <c r="L676" s="7"/>
      <c r="M676" s="7"/>
      <c r="O676" s="7"/>
      <c r="Q676" s="7"/>
      <c r="S676" s="7"/>
      <c r="U676" s="7"/>
      <c r="W676" s="7"/>
    </row>
    <row r="677">
      <c r="E677" s="62"/>
      <c r="F677" s="7"/>
      <c r="G677" s="7"/>
      <c r="I677" s="7"/>
      <c r="K677" s="62"/>
      <c r="L677" s="7"/>
      <c r="M677" s="7"/>
      <c r="O677" s="7"/>
      <c r="Q677" s="7"/>
      <c r="S677" s="7"/>
      <c r="U677" s="7"/>
      <c r="W677" s="7"/>
    </row>
    <row r="678">
      <c r="E678" s="62"/>
      <c r="F678" s="7"/>
      <c r="G678" s="7"/>
      <c r="I678" s="7"/>
      <c r="K678" s="62"/>
      <c r="L678" s="7"/>
      <c r="M678" s="7"/>
      <c r="O678" s="7"/>
      <c r="Q678" s="7"/>
      <c r="S678" s="7"/>
      <c r="U678" s="7"/>
      <c r="W678" s="7"/>
    </row>
    <row r="679">
      <c r="E679" s="62"/>
      <c r="F679" s="7"/>
      <c r="G679" s="7"/>
      <c r="I679" s="7"/>
      <c r="K679" s="62"/>
      <c r="L679" s="7"/>
      <c r="M679" s="7"/>
      <c r="O679" s="7"/>
      <c r="Q679" s="7"/>
      <c r="S679" s="7"/>
      <c r="U679" s="7"/>
      <c r="W679" s="7"/>
    </row>
    <row r="680">
      <c r="E680" s="62"/>
      <c r="F680" s="7"/>
      <c r="G680" s="7"/>
      <c r="I680" s="7"/>
      <c r="K680" s="62"/>
      <c r="L680" s="7"/>
      <c r="M680" s="7"/>
      <c r="O680" s="7"/>
      <c r="Q680" s="7"/>
      <c r="S680" s="7"/>
      <c r="U680" s="7"/>
      <c r="W680" s="7"/>
    </row>
    <row r="681">
      <c r="E681" s="62"/>
      <c r="F681" s="7"/>
      <c r="G681" s="7"/>
      <c r="I681" s="7"/>
      <c r="K681" s="62"/>
      <c r="L681" s="7"/>
      <c r="M681" s="7"/>
      <c r="O681" s="7"/>
      <c r="Q681" s="7"/>
      <c r="S681" s="7"/>
      <c r="U681" s="7"/>
      <c r="W681" s="7"/>
    </row>
    <row r="682">
      <c r="E682" s="62"/>
      <c r="F682" s="7"/>
      <c r="G682" s="7"/>
      <c r="I682" s="7"/>
      <c r="K682" s="62"/>
      <c r="L682" s="7"/>
      <c r="M682" s="7"/>
      <c r="O682" s="7"/>
      <c r="Q682" s="7"/>
      <c r="S682" s="7"/>
      <c r="U682" s="7"/>
      <c r="W682" s="7"/>
    </row>
    <row r="683">
      <c r="E683" s="62"/>
      <c r="F683" s="7"/>
      <c r="G683" s="7"/>
      <c r="I683" s="7"/>
      <c r="K683" s="62"/>
      <c r="L683" s="7"/>
      <c r="M683" s="7"/>
      <c r="O683" s="7"/>
      <c r="Q683" s="7"/>
      <c r="S683" s="7"/>
      <c r="U683" s="7"/>
      <c r="W683" s="7"/>
    </row>
    <row r="684">
      <c r="E684" s="62"/>
      <c r="F684" s="7"/>
      <c r="G684" s="7"/>
      <c r="I684" s="7"/>
      <c r="K684" s="62"/>
      <c r="L684" s="7"/>
      <c r="M684" s="7"/>
      <c r="O684" s="7"/>
      <c r="Q684" s="7"/>
      <c r="S684" s="7"/>
      <c r="U684" s="7"/>
      <c r="W684" s="7"/>
    </row>
    <row r="685">
      <c r="E685" s="62"/>
      <c r="F685" s="7"/>
      <c r="G685" s="7"/>
      <c r="I685" s="7"/>
      <c r="K685" s="62"/>
      <c r="L685" s="7"/>
      <c r="M685" s="7"/>
      <c r="O685" s="7"/>
      <c r="Q685" s="7"/>
      <c r="S685" s="7"/>
      <c r="U685" s="7"/>
      <c r="W685" s="7"/>
    </row>
    <row r="686">
      <c r="E686" s="62"/>
      <c r="F686" s="7"/>
      <c r="G686" s="7"/>
      <c r="I686" s="7"/>
      <c r="K686" s="62"/>
      <c r="L686" s="7"/>
      <c r="M686" s="7"/>
      <c r="O686" s="7"/>
      <c r="Q686" s="7"/>
      <c r="S686" s="7"/>
      <c r="U686" s="7"/>
      <c r="W686" s="7"/>
    </row>
    <row r="687">
      <c r="E687" s="62"/>
      <c r="F687" s="7"/>
      <c r="G687" s="7"/>
      <c r="I687" s="7"/>
      <c r="K687" s="62"/>
      <c r="L687" s="7"/>
      <c r="M687" s="7"/>
      <c r="O687" s="7"/>
      <c r="Q687" s="7"/>
      <c r="S687" s="7"/>
      <c r="U687" s="7"/>
      <c r="W687" s="7"/>
    </row>
    <row r="688">
      <c r="E688" s="62"/>
      <c r="F688" s="7"/>
      <c r="G688" s="7"/>
      <c r="I688" s="7"/>
      <c r="K688" s="62"/>
      <c r="L688" s="7"/>
      <c r="M688" s="7"/>
      <c r="O688" s="7"/>
      <c r="Q688" s="7"/>
      <c r="S688" s="7"/>
      <c r="U688" s="7"/>
      <c r="W688" s="7"/>
    </row>
    <row r="689">
      <c r="E689" s="62"/>
      <c r="F689" s="7"/>
      <c r="G689" s="7"/>
      <c r="I689" s="7"/>
      <c r="K689" s="62"/>
      <c r="L689" s="7"/>
      <c r="M689" s="7"/>
      <c r="O689" s="7"/>
      <c r="Q689" s="7"/>
      <c r="S689" s="7"/>
      <c r="U689" s="7"/>
      <c r="W689" s="7"/>
    </row>
    <row r="690">
      <c r="E690" s="62"/>
      <c r="F690" s="7"/>
      <c r="G690" s="7"/>
      <c r="I690" s="7"/>
      <c r="K690" s="62"/>
      <c r="L690" s="7"/>
      <c r="M690" s="7"/>
      <c r="O690" s="7"/>
      <c r="Q690" s="7"/>
      <c r="S690" s="7"/>
      <c r="U690" s="7"/>
      <c r="W690" s="7"/>
    </row>
    <row r="691">
      <c r="E691" s="62"/>
      <c r="F691" s="7"/>
      <c r="G691" s="7"/>
      <c r="I691" s="7"/>
      <c r="K691" s="62"/>
      <c r="L691" s="7"/>
      <c r="M691" s="7"/>
      <c r="O691" s="7"/>
      <c r="Q691" s="7"/>
      <c r="S691" s="7"/>
      <c r="U691" s="7"/>
      <c r="W691" s="7"/>
    </row>
    <row r="692">
      <c r="E692" s="62"/>
      <c r="F692" s="7"/>
      <c r="G692" s="7"/>
      <c r="I692" s="7"/>
      <c r="K692" s="62"/>
      <c r="L692" s="7"/>
      <c r="M692" s="7"/>
      <c r="O692" s="7"/>
      <c r="Q692" s="7"/>
      <c r="S692" s="7"/>
      <c r="U692" s="7"/>
      <c r="W692" s="7"/>
    </row>
    <row r="693">
      <c r="E693" s="62"/>
      <c r="F693" s="7"/>
      <c r="G693" s="7"/>
      <c r="I693" s="7"/>
      <c r="K693" s="62"/>
      <c r="L693" s="7"/>
      <c r="M693" s="7"/>
      <c r="O693" s="7"/>
      <c r="Q693" s="7"/>
      <c r="S693" s="7"/>
      <c r="U693" s="7"/>
      <c r="W693" s="7"/>
    </row>
    <row r="694">
      <c r="E694" s="62"/>
      <c r="F694" s="7"/>
      <c r="G694" s="7"/>
      <c r="I694" s="7"/>
      <c r="K694" s="62"/>
      <c r="L694" s="7"/>
      <c r="M694" s="7"/>
      <c r="O694" s="7"/>
      <c r="Q694" s="7"/>
      <c r="S694" s="7"/>
      <c r="U694" s="7"/>
      <c r="W694" s="7"/>
    </row>
    <row r="695">
      <c r="E695" s="62"/>
      <c r="F695" s="7"/>
      <c r="G695" s="7"/>
      <c r="I695" s="7"/>
      <c r="K695" s="62"/>
      <c r="L695" s="7"/>
      <c r="M695" s="7"/>
      <c r="O695" s="7"/>
      <c r="Q695" s="7"/>
      <c r="S695" s="7"/>
      <c r="U695" s="7"/>
      <c r="W695" s="7"/>
    </row>
    <row r="696">
      <c r="E696" s="62"/>
      <c r="F696" s="7"/>
      <c r="G696" s="7"/>
      <c r="I696" s="7"/>
      <c r="K696" s="62"/>
      <c r="L696" s="7"/>
      <c r="M696" s="7"/>
      <c r="O696" s="7"/>
      <c r="Q696" s="7"/>
      <c r="S696" s="7"/>
      <c r="U696" s="7"/>
      <c r="W696" s="7"/>
    </row>
    <row r="697">
      <c r="E697" s="62"/>
      <c r="F697" s="7"/>
      <c r="G697" s="7"/>
      <c r="I697" s="7"/>
      <c r="K697" s="62"/>
      <c r="L697" s="7"/>
      <c r="M697" s="7"/>
      <c r="O697" s="7"/>
      <c r="Q697" s="7"/>
      <c r="S697" s="7"/>
      <c r="U697" s="7"/>
      <c r="W697" s="7"/>
    </row>
    <row r="698">
      <c r="E698" s="62"/>
      <c r="F698" s="7"/>
      <c r="G698" s="7"/>
      <c r="I698" s="7"/>
      <c r="K698" s="62"/>
      <c r="L698" s="7"/>
      <c r="M698" s="7"/>
      <c r="O698" s="7"/>
      <c r="Q698" s="7"/>
      <c r="S698" s="7"/>
      <c r="U698" s="7"/>
      <c r="W698" s="7"/>
    </row>
    <row r="699">
      <c r="E699" s="62"/>
      <c r="F699" s="7"/>
      <c r="G699" s="7"/>
      <c r="I699" s="7"/>
      <c r="K699" s="62"/>
      <c r="L699" s="7"/>
      <c r="M699" s="7"/>
      <c r="O699" s="7"/>
      <c r="Q699" s="7"/>
      <c r="S699" s="7"/>
      <c r="U699" s="7"/>
      <c r="W699" s="7"/>
    </row>
    <row r="700">
      <c r="E700" s="62"/>
      <c r="F700" s="7"/>
      <c r="G700" s="7"/>
      <c r="I700" s="7"/>
      <c r="K700" s="62"/>
      <c r="L700" s="7"/>
      <c r="M700" s="7"/>
      <c r="O700" s="7"/>
      <c r="Q700" s="7"/>
      <c r="S700" s="7"/>
      <c r="U700" s="7"/>
      <c r="W700" s="7"/>
    </row>
    <row r="701">
      <c r="E701" s="62"/>
      <c r="F701" s="7"/>
      <c r="G701" s="7"/>
      <c r="I701" s="7"/>
      <c r="K701" s="62"/>
      <c r="L701" s="7"/>
      <c r="M701" s="7"/>
      <c r="O701" s="7"/>
      <c r="Q701" s="7"/>
      <c r="S701" s="7"/>
      <c r="U701" s="7"/>
      <c r="W701" s="7"/>
    </row>
    <row r="702">
      <c r="E702" s="62"/>
      <c r="F702" s="7"/>
      <c r="G702" s="7"/>
      <c r="I702" s="7"/>
      <c r="K702" s="62"/>
      <c r="L702" s="7"/>
      <c r="M702" s="7"/>
      <c r="O702" s="7"/>
      <c r="Q702" s="7"/>
      <c r="S702" s="7"/>
      <c r="U702" s="7"/>
      <c r="W702" s="7"/>
    </row>
    <row r="703">
      <c r="E703" s="62"/>
      <c r="F703" s="7"/>
      <c r="G703" s="7"/>
      <c r="I703" s="7"/>
      <c r="K703" s="62"/>
      <c r="L703" s="7"/>
      <c r="M703" s="7"/>
      <c r="O703" s="7"/>
      <c r="Q703" s="7"/>
      <c r="S703" s="7"/>
      <c r="U703" s="7"/>
      <c r="W703" s="7"/>
    </row>
    <row r="704">
      <c r="E704" s="62"/>
      <c r="F704" s="7"/>
      <c r="G704" s="7"/>
      <c r="I704" s="7"/>
      <c r="K704" s="62"/>
      <c r="L704" s="7"/>
      <c r="M704" s="7"/>
      <c r="O704" s="7"/>
      <c r="Q704" s="7"/>
      <c r="S704" s="7"/>
      <c r="U704" s="7"/>
      <c r="W704" s="7"/>
    </row>
    <row r="705">
      <c r="E705" s="62"/>
      <c r="F705" s="7"/>
      <c r="G705" s="7"/>
      <c r="I705" s="7"/>
      <c r="K705" s="62"/>
      <c r="L705" s="7"/>
      <c r="M705" s="7"/>
      <c r="O705" s="7"/>
      <c r="Q705" s="7"/>
      <c r="S705" s="7"/>
      <c r="U705" s="7"/>
      <c r="W705" s="7"/>
    </row>
    <row r="706">
      <c r="E706" s="62"/>
      <c r="F706" s="7"/>
      <c r="G706" s="7"/>
      <c r="I706" s="7"/>
      <c r="K706" s="62"/>
      <c r="L706" s="7"/>
      <c r="M706" s="7"/>
      <c r="O706" s="7"/>
      <c r="Q706" s="7"/>
      <c r="S706" s="7"/>
      <c r="U706" s="7"/>
      <c r="W706" s="7"/>
    </row>
    <row r="707">
      <c r="E707" s="62"/>
      <c r="F707" s="7"/>
      <c r="G707" s="7"/>
      <c r="I707" s="7"/>
      <c r="K707" s="62"/>
      <c r="L707" s="7"/>
      <c r="M707" s="7"/>
      <c r="O707" s="7"/>
      <c r="Q707" s="7"/>
      <c r="S707" s="7"/>
      <c r="U707" s="7"/>
      <c r="W707" s="7"/>
    </row>
    <row r="708">
      <c r="E708" s="62"/>
      <c r="F708" s="7"/>
      <c r="G708" s="7"/>
      <c r="I708" s="7"/>
      <c r="K708" s="62"/>
      <c r="L708" s="7"/>
      <c r="M708" s="7"/>
      <c r="O708" s="7"/>
      <c r="Q708" s="7"/>
      <c r="S708" s="7"/>
      <c r="U708" s="7"/>
      <c r="W708" s="7"/>
    </row>
    <row r="709">
      <c r="E709" s="62"/>
      <c r="F709" s="7"/>
      <c r="G709" s="7"/>
      <c r="I709" s="7"/>
      <c r="K709" s="62"/>
      <c r="L709" s="7"/>
      <c r="M709" s="7"/>
      <c r="O709" s="7"/>
      <c r="Q709" s="7"/>
      <c r="S709" s="7"/>
      <c r="U709" s="7"/>
      <c r="W709" s="7"/>
    </row>
    <row r="710">
      <c r="E710" s="62"/>
      <c r="F710" s="7"/>
      <c r="G710" s="7"/>
      <c r="I710" s="7"/>
      <c r="K710" s="62"/>
      <c r="L710" s="7"/>
      <c r="M710" s="7"/>
      <c r="O710" s="7"/>
      <c r="Q710" s="7"/>
      <c r="S710" s="7"/>
      <c r="U710" s="7"/>
      <c r="W710" s="7"/>
    </row>
    <row r="711">
      <c r="E711" s="62"/>
      <c r="F711" s="7"/>
      <c r="G711" s="7"/>
      <c r="I711" s="7"/>
      <c r="K711" s="62"/>
      <c r="L711" s="7"/>
      <c r="M711" s="7"/>
      <c r="O711" s="7"/>
      <c r="Q711" s="7"/>
      <c r="S711" s="7"/>
      <c r="U711" s="7"/>
      <c r="W711" s="7"/>
    </row>
    <row r="712">
      <c r="E712" s="62"/>
      <c r="F712" s="7"/>
      <c r="G712" s="7"/>
      <c r="I712" s="7"/>
      <c r="K712" s="62"/>
      <c r="L712" s="7"/>
      <c r="M712" s="7"/>
      <c r="O712" s="7"/>
      <c r="Q712" s="7"/>
      <c r="S712" s="7"/>
      <c r="U712" s="7"/>
      <c r="W712" s="7"/>
    </row>
    <row r="713">
      <c r="E713" s="62"/>
      <c r="F713" s="7"/>
      <c r="G713" s="7"/>
      <c r="I713" s="7"/>
      <c r="K713" s="62"/>
      <c r="L713" s="7"/>
      <c r="M713" s="7"/>
      <c r="O713" s="7"/>
      <c r="Q713" s="7"/>
      <c r="S713" s="7"/>
      <c r="U713" s="7"/>
      <c r="W713" s="7"/>
    </row>
    <row r="714">
      <c r="E714" s="62"/>
      <c r="F714" s="7"/>
      <c r="G714" s="7"/>
      <c r="I714" s="7"/>
      <c r="K714" s="62"/>
      <c r="L714" s="7"/>
      <c r="M714" s="7"/>
      <c r="O714" s="7"/>
      <c r="Q714" s="7"/>
      <c r="S714" s="7"/>
      <c r="U714" s="7"/>
      <c r="W714" s="7"/>
    </row>
    <row r="715">
      <c r="E715" s="62"/>
      <c r="F715" s="7"/>
      <c r="G715" s="7"/>
      <c r="I715" s="7"/>
      <c r="K715" s="62"/>
      <c r="L715" s="7"/>
      <c r="M715" s="7"/>
      <c r="O715" s="7"/>
      <c r="Q715" s="7"/>
      <c r="S715" s="7"/>
      <c r="U715" s="7"/>
      <c r="W715" s="7"/>
    </row>
    <row r="716">
      <c r="E716" s="62"/>
      <c r="F716" s="7"/>
      <c r="G716" s="7"/>
      <c r="I716" s="7"/>
      <c r="K716" s="62"/>
      <c r="L716" s="7"/>
      <c r="M716" s="7"/>
      <c r="O716" s="7"/>
      <c r="Q716" s="7"/>
      <c r="S716" s="7"/>
      <c r="U716" s="7"/>
      <c r="W716" s="7"/>
    </row>
    <row r="717">
      <c r="E717" s="62"/>
      <c r="F717" s="7"/>
      <c r="G717" s="7"/>
      <c r="I717" s="7"/>
      <c r="K717" s="62"/>
      <c r="L717" s="7"/>
      <c r="M717" s="7"/>
      <c r="O717" s="7"/>
      <c r="Q717" s="7"/>
      <c r="S717" s="7"/>
      <c r="U717" s="7"/>
      <c r="W717" s="7"/>
    </row>
    <row r="718">
      <c r="E718" s="62"/>
      <c r="F718" s="7"/>
      <c r="G718" s="7"/>
      <c r="I718" s="7"/>
      <c r="K718" s="62"/>
      <c r="L718" s="7"/>
      <c r="M718" s="7"/>
      <c r="O718" s="7"/>
      <c r="Q718" s="7"/>
      <c r="S718" s="7"/>
      <c r="U718" s="7"/>
      <c r="W718" s="7"/>
    </row>
    <row r="719">
      <c r="E719" s="62"/>
      <c r="F719" s="7"/>
      <c r="G719" s="7"/>
      <c r="I719" s="7"/>
      <c r="K719" s="62"/>
      <c r="L719" s="7"/>
      <c r="M719" s="7"/>
      <c r="O719" s="7"/>
      <c r="Q719" s="7"/>
      <c r="S719" s="7"/>
      <c r="U719" s="7"/>
      <c r="W719" s="7"/>
    </row>
    <row r="720">
      <c r="E720" s="62"/>
      <c r="F720" s="7"/>
      <c r="G720" s="7"/>
      <c r="I720" s="7"/>
      <c r="K720" s="62"/>
      <c r="L720" s="7"/>
      <c r="M720" s="7"/>
      <c r="O720" s="7"/>
      <c r="Q720" s="7"/>
      <c r="S720" s="7"/>
      <c r="U720" s="7"/>
      <c r="W720" s="7"/>
    </row>
    <row r="721">
      <c r="E721" s="62"/>
      <c r="F721" s="7"/>
      <c r="G721" s="7"/>
      <c r="I721" s="7"/>
      <c r="K721" s="62"/>
      <c r="L721" s="7"/>
      <c r="M721" s="7"/>
      <c r="O721" s="7"/>
      <c r="Q721" s="7"/>
      <c r="S721" s="7"/>
      <c r="U721" s="7"/>
      <c r="W721" s="7"/>
    </row>
    <row r="722">
      <c r="E722" s="62"/>
      <c r="F722" s="7"/>
      <c r="G722" s="7"/>
      <c r="I722" s="7"/>
      <c r="K722" s="62"/>
      <c r="L722" s="7"/>
      <c r="M722" s="7"/>
      <c r="O722" s="7"/>
      <c r="Q722" s="7"/>
      <c r="S722" s="7"/>
      <c r="U722" s="7"/>
      <c r="W722" s="7"/>
    </row>
    <row r="723">
      <c r="E723" s="62"/>
      <c r="F723" s="7"/>
      <c r="G723" s="7"/>
      <c r="I723" s="7"/>
      <c r="K723" s="62"/>
      <c r="L723" s="7"/>
      <c r="M723" s="7"/>
      <c r="O723" s="7"/>
      <c r="Q723" s="7"/>
      <c r="S723" s="7"/>
      <c r="U723" s="7"/>
      <c r="W723" s="7"/>
    </row>
    <row r="724">
      <c r="E724" s="62"/>
      <c r="F724" s="7"/>
      <c r="G724" s="7"/>
      <c r="I724" s="7"/>
      <c r="K724" s="62"/>
      <c r="L724" s="7"/>
      <c r="M724" s="7"/>
      <c r="O724" s="7"/>
      <c r="Q724" s="7"/>
      <c r="S724" s="7"/>
      <c r="U724" s="7"/>
      <c r="W724" s="7"/>
    </row>
    <row r="725">
      <c r="E725" s="62"/>
      <c r="F725" s="7"/>
      <c r="G725" s="7"/>
      <c r="I725" s="7"/>
      <c r="K725" s="62"/>
      <c r="L725" s="7"/>
      <c r="M725" s="7"/>
      <c r="O725" s="7"/>
      <c r="Q725" s="7"/>
      <c r="S725" s="7"/>
      <c r="U725" s="7"/>
      <c r="W725" s="7"/>
    </row>
    <row r="726">
      <c r="E726" s="62"/>
      <c r="F726" s="7"/>
      <c r="G726" s="7"/>
      <c r="I726" s="7"/>
      <c r="K726" s="62"/>
      <c r="L726" s="7"/>
      <c r="M726" s="7"/>
      <c r="O726" s="7"/>
      <c r="Q726" s="7"/>
      <c r="S726" s="7"/>
      <c r="U726" s="7"/>
      <c r="W726" s="7"/>
    </row>
    <row r="727">
      <c r="E727" s="62"/>
      <c r="F727" s="7"/>
      <c r="G727" s="7"/>
      <c r="I727" s="7"/>
      <c r="K727" s="62"/>
      <c r="L727" s="7"/>
      <c r="M727" s="7"/>
      <c r="O727" s="7"/>
      <c r="Q727" s="7"/>
      <c r="S727" s="7"/>
      <c r="U727" s="7"/>
      <c r="W727" s="7"/>
    </row>
    <row r="728">
      <c r="E728" s="62"/>
      <c r="F728" s="7"/>
      <c r="G728" s="7"/>
      <c r="I728" s="7"/>
      <c r="K728" s="62"/>
      <c r="L728" s="7"/>
      <c r="M728" s="7"/>
      <c r="O728" s="7"/>
      <c r="Q728" s="7"/>
      <c r="S728" s="7"/>
      <c r="U728" s="7"/>
      <c r="W728" s="7"/>
    </row>
    <row r="729">
      <c r="E729" s="62"/>
      <c r="F729" s="7"/>
      <c r="G729" s="7"/>
      <c r="I729" s="7"/>
      <c r="K729" s="62"/>
      <c r="L729" s="7"/>
      <c r="M729" s="7"/>
      <c r="O729" s="7"/>
      <c r="Q729" s="7"/>
      <c r="S729" s="7"/>
      <c r="U729" s="7"/>
      <c r="W729" s="7"/>
    </row>
    <row r="730">
      <c r="E730" s="62"/>
      <c r="F730" s="7"/>
      <c r="G730" s="7"/>
      <c r="I730" s="7"/>
      <c r="K730" s="62"/>
      <c r="L730" s="7"/>
      <c r="M730" s="7"/>
      <c r="O730" s="7"/>
      <c r="Q730" s="7"/>
      <c r="S730" s="7"/>
      <c r="U730" s="7"/>
      <c r="W730" s="7"/>
    </row>
    <row r="731">
      <c r="E731" s="62"/>
      <c r="F731" s="7"/>
      <c r="G731" s="7"/>
      <c r="I731" s="7"/>
      <c r="K731" s="62"/>
      <c r="L731" s="7"/>
      <c r="M731" s="7"/>
      <c r="O731" s="7"/>
      <c r="Q731" s="7"/>
      <c r="S731" s="7"/>
      <c r="U731" s="7"/>
      <c r="W731" s="7"/>
    </row>
    <row r="732">
      <c r="E732" s="62"/>
      <c r="F732" s="7"/>
      <c r="G732" s="7"/>
      <c r="I732" s="7"/>
      <c r="K732" s="62"/>
      <c r="L732" s="7"/>
      <c r="M732" s="7"/>
      <c r="O732" s="7"/>
      <c r="Q732" s="7"/>
      <c r="S732" s="7"/>
      <c r="U732" s="7"/>
      <c r="W732" s="7"/>
    </row>
    <row r="733">
      <c r="E733" s="62"/>
      <c r="F733" s="7"/>
      <c r="G733" s="7"/>
      <c r="I733" s="7"/>
      <c r="K733" s="62"/>
      <c r="L733" s="7"/>
      <c r="M733" s="7"/>
      <c r="O733" s="7"/>
      <c r="Q733" s="7"/>
      <c r="S733" s="7"/>
      <c r="U733" s="7"/>
      <c r="W733" s="7"/>
    </row>
    <row r="734">
      <c r="E734" s="62"/>
      <c r="F734" s="7"/>
      <c r="G734" s="7"/>
      <c r="I734" s="7"/>
      <c r="K734" s="62"/>
      <c r="L734" s="7"/>
      <c r="M734" s="7"/>
      <c r="O734" s="7"/>
      <c r="Q734" s="7"/>
      <c r="S734" s="7"/>
      <c r="U734" s="7"/>
      <c r="W734" s="7"/>
    </row>
    <row r="735">
      <c r="E735" s="62"/>
      <c r="F735" s="7"/>
      <c r="G735" s="7"/>
      <c r="I735" s="7"/>
      <c r="K735" s="62"/>
      <c r="L735" s="7"/>
      <c r="M735" s="7"/>
      <c r="O735" s="7"/>
      <c r="Q735" s="7"/>
      <c r="S735" s="7"/>
      <c r="U735" s="7"/>
      <c r="W735" s="7"/>
    </row>
    <row r="736">
      <c r="E736" s="62"/>
      <c r="F736" s="7"/>
      <c r="G736" s="7"/>
      <c r="I736" s="7"/>
      <c r="K736" s="62"/>
      <c r="L736" s="7"/>
      <c r="M736" s="7"/>
      <c r="O736" s="7"/>
      <c r="Q736" s="7"/>
      <c r="S736" s="7"/>
      <c r="U736" s="7"/>
      <c r="W736" s="7"/>
    </row>
    <row r="737">
      <c r="E737" s="62"/>
      <c r="F737" s="7"/>
      <c r="G737" s="7"/>
      <c r="I737" s="7"/>
      <c r="K737" s="62"/>
      <c r="L737" s="7"/>
      <c r="M737" s="7"/>
      <c r="O737" s="7"/>
      <c r="Q737" s="7"/>
      <c r="S737" s="7"/>
      <c r="U737" s="7"/>
      <c r="W737" s="7"/>
    </row>
    <row r="738">
      <c r="E738" s="62"/>
      <c r="F738" s="7"/>
      <c r="G738" s="7"/>
      <c r="I738" s="7"/>
      <c r="K738" s="62"/>
      <c r="L738" s="7"/>
      <c r="M738" s="7"/>
      <c r="O738" s="7"/>
      <c r="Q738" s="7"/>
      <c r="S738" s="7"/>
      <c r="U738" s="7"/>
      <c r="W738" s="7"/>
    </row>
    <row r="739">
      <c r="E739" s="62"/>
      <c r="F739" s="7"/>
      <c r="G739" s="7"/>
      <c r="I739" s="7"/>
      <c r="K739" s="62"/>
      <c r="L739" s="7"/>
      <c r="M739" s="7"/>
      <c r="O739" s="7"/>
      <c r="Q739" s="7"/>
      <c r="S739" s="7"/>
      <c r="U739" s="7"/>
      <c r="W739" s="7"/>
    </row>
    <row r="740">
      <c r="E740" s="62"/>
      <c r="F740" s="7"/>
      <c r="G740" s="7"/>
      <c r="I740" s="7"/>
      <c r="K740" s="62"/>
      <c r="L740" s="7"/>
      <c r="M740" s="7"/>
      <c r="O740" s="7"/>
      <c r="Q740" s="7"/>
      <c r="S740" s="7"/>
      <c r="U740" s="7"/>
      <c r="W740" s="7"/>
    </row>
    <row r="741">
      <c r="E741" s="62"/>
      <c r="F741" s="7"/>
      <c r="G741" s="7"/>
      <c r="I741" s="7"/>
      <c r="K741" s="62"/>
      <c r="L741" s="7"/>
      <c r="M741" s="7"/>
      <c r="O741" s="7"/>
      <c r="Q741" s="7"/>
      <c r="S741" s="7"/>
      <c r="U741" s="7"/>
      <c r="W741" s="7"/>
    </row>
    <row r="742">
      <c r="E742" s="62"/>
      <c r="F742" s="7"/>
      <c r="G742" s="7"/>
      <c r="I742" s="7"/>
      <c r="K742" s="62"/>
      <c r="L742" s="7"/>
      <c r="M742" s="7"/>
      <c r="O742" s="7"/>
      <c r="Q742" s="7"/>
      <c r="S742" s="7"/>
      <c r="U742" s="7"/>
      <c r="W742" s="7"/>
    </row>
    <row r="743">
      <c r="E743" s="62"/>
      <c r="F743" s="7"/>
      <c r="G743" s="7"/>
      <c r="I743" s="7"/>
      <c r="K743" s="62"/>
      <c r="L743" s="7"/>
      <c r="M743" s="7"/>
      <c r="O743" s="7"/>
      <c r="Q743" s="7"/>
      <c r="S743" s="7"/>
      <c r="U743" s="7"/>
      <c r="W743" s="7"/>
    </row>
    <row r="744">
      <c r="E744" s="62"/>
      <c r="F744" s="7"/>
      <c r="G744" s="7"/>
      <c r="I744" s="7"/>
      <c r="K744" s="62"/>
      <c r="L744" s="7"/>
      <c r="M744" s="7"/>
      <c r="O744" s="7"/>
      <c r="Q744" s="7"/>
      <c r="S744" s="7"/>
      <c r="U744" s="7"/>
      <c r="W744" s="7"/>
    </row>
    <row r="745">
      <c r="E745" s="62"/>
      <c r="F745" s="7"/>
      <c r="G745" s="7"/>
      <c r="I745" s="7"/>
      <c r="K745" s="62"/>
      <c r="L745" s="7"/>
      <c r="M745" s="7"/>
      <c r="O745" s="7"/>
      <c r="Q745" s="7"/>
      <c r="S745" s="7"/>
      <c r="U745" s="7"/>
      <c r="W745" s="7"/>
    </row>
    <row r="746">
      <c r="E746" s="62"/>
      <c r="F746" s="7"/>
      <c r="G746" s="7"/>
      <c r="I746" s="7"/>
      <c r="K746" s="62"/>
      <c r="L746" s="7"/>
      <c r="M746" s="7"/>
      <c r="O746" s="7"/>
      <c r="Q746" s="7"/>
      <c r="S746" s="7"/>
      <c r="U746" s="7"/>
      <c r="W746" s="7"/>
    </row>
    <row r="747">
      <c r="E747" s="62"/>
      <c r="F747" s="7"/>
      <c r="G747" s="7"/>
      <c r="I747" s="7"/>
      <c r="K747" s="62"/>
      <c r="L747" s="7"/>
      <c r="M747" s="7"/>
      <c r="O747" s="7"/>
      <c r="Q747" s="7"/>
      <c r="S747" s="7"/>
      <c r="U747" s="7"/>
      <c r="W747" s="7"/>
    </row>
    <row r="748">
      <c r="E748" s="62"/>
      <c r="F748" s="7"/>
      <c r="G748" s="7"/>
      <c r="I748" s="7"/>
      <c r="K748" s="62"/>
      <c r="L748" s="7"/>
      <c r="M748" s="7"/>
      <c r="O748" s="7"/>
      <c r="Q748" s="7"/>
      <c r="S748" s="7"/>
      <c r="U748" s="7"/>
      <c r="W748" s="7"/>
    </row>
    <row r="749">
      <c r="E749" s="62"/>
      <c r="F749" s="7"/>
      <c r="G749" s="7"/>
      <c r="I749" s="7"/>
      <c r="K749" s="62"/>
      <c r="L749" s="7"/>
      <c r="M749" s="7"/>
      <c r="O749" s="7"/>
      <c r="Q749" s="7"/>
      <c r="S749" s="7"/>
      <c r="U749" s="7"/>
      <c r="W749" s="7"/>
    </row>
    <row r="750">
      <c r="E750" s="62"/>
      <c r="F750" s="7"/>
      <c r="G750" s="7"/>
      <c r="I750" s="7"/>
      <c r="K750" s="62"/>
      <c r="L750" s="7"/>
      <c r="M750" s="7"/>
      <c r="O750" s="7"/>
      <c r="Q750" s="7"/>
      <c r="S750" s="7"/>
      <c r="U750" s="7"/>
      <c r="W750" s="7"/>
    </row>
    <row r="751">
      <c r="E751" s="62"/>
      <c r="F751" s="7"/>
      <c r="G751" s="7"/>
      <c r="I751" s="7"/>
      <c r="K751" s="62"/>
      <c r="L751" s="7"/>
      <c r="M751" s="7"/>
      <c r="O751" s="7"/>
      <c r="Q751" s="7"/>
      <c r="S751" s="7"/>
      <c r="U751" s="7"/>
      <c r="W751" s="7"/>
    </row>
    <row r="752">
      <c r="E752" s="62"/>
      <c r="F752" s="7"/>
      <c r="G752" s="7"/>
      <c r="I752" s="7"/>
      <c r="K752" s="62"/>
      <c r="L752" s="7"/>
      <c r="M752" s="7"/>
      <c r="O752" s="7"/>
      <c r="Q752" s="7"/>
      <c r="S752" s="7"/>
      <c r="U752" s="7"/>
      <c r="W752" s="7"/>
    </row>
    <row r="753">
      <c r="E753" s="62"/>
      <c r="F753" s="7"/>
      <c r="G753" s="7"/>
      <c r="I753" s="7"/>
      <c r="K753" s="62"/>
      <c r="L753" s="7"/>
      <c r="M753" s="7"/>
      <c r="O753" s="7"/>
      <c r="Q753" s="7"/>
      <c r="S753" s="7"/>
      <c r="U753" s="7"/>
      <c r="W753" s="7"/>
    </row>
    <row r="754">
      <c r="E754" s="62"/>
      <c r="F754" s="7"/>
      <c r="G754" s="7"/>
      <c r="I754" s="7"/>
      <c r="K754" s="62"/>
      <c r="L754" s="7"/>
      <c r="M754" s="7"/>
      <c r="O754" s="7"/>
      <c r="Q754" s="7"/>
      <c r="S754" s="7"/>
      <c r="U754" s="7"/>
      <c r="W754" s="7"/>
    </row>
    <row r="755">
      <c r="E755" s="62"/>
      <c r="F755" s="7"/>
      <c r="G755" s="7"/>
      <c r="I755" s="7"/>
      <c r="K755" s="62"/>
      <c r="L755" s="7"/>
      <c r="M755" s="7"/>
      <c r="O755" s="7"/>
      <c r="Q755" s="7"/>
      <c r="S755" s="7"/>
      <c r="U755" s="7"/>
      <c r="W755" s="7"/>
    </row>
    <row r="756">
      <c r="E756" s="62"/>
      <c r="F756" s="7"/>
      <c r="G756" s="7"/>
      <c r="I756" s="7"/>
      <c r="K756" s="62"/>
      <c r="L756" s="7"/>
      <c r="M756" s="7"/>
      <c r="O756" s="7"/>
      <c r="Q756" s="7"/>
      <c r="S756" s="7"/>
      <c r="U756" s="7"/>
      <c r="W756" s="7"/>
    </row>
    <row r="757">
      <c r="E757" s="62"/>
      <c r="F757" s="7"/>
      <c r="G757" s="7"/>
      <c r="I757" s="7"/>
      <c r="K757" s="62"/>
      <c r="L757" s="7"/>
      <c r="M757" s="7"/>
      <c r="O757" s="7"/>
      <c r="Q757" s="7"/>
      <c r="S757" s="7"/>
      <c r="U757" s="7"/>
      <c r="W757" s="7"/>
    </row>
    <row r="758">
      <c r="E758" s="62"/>
      <c r="F758" s="7"/>
      <c r="G758" s="7"/>
      <c r="I758" s="7"/>
      <c r="K758" s="62"/>
      <c r="L758" s="7"/>
      <c r="M758" s="7"/>
      <c r="O758" s="7"/>
      <c r="Q758" s="7"/>
      <c r="S758" s="7"/>
      <c r="U758" s="7"/>
      <c r="W758" s="7"/>
    </row>
    <row r="759">
      <c r="E759" s="62"/>
      <c r="F759" s="7"/>
      <c r="G759" s="7"/>
      <c r="I759" s="7"/>
      <c r="K759" s="62"/>
      <c r="L759" s="7"/>
      <c r="M759" s="7"/>
      <c r="O759" s="7"/>
      <c r="Q759" s="7"/>
      <c r="S759" s="7"/>
      <c r="U759" s="7"/>
      <c r="W759" s="7"/>
    </row>
    <row r="760">
      <c r="E760" s="62"/>
      <c r="F760" s="7"/>
      <c r="G760" s="7"/>
      <c r="I760" s="7"/>
      <c r="K760" s="62"/>
      <c r="L760" s="7"/>
      <c r="M760" s="7"/>
      <c r="O760" s="7"/>
      <c r="Q760" s="7"/>
      <c r="S760" s="7"/>
      <c r="U760" s="7"/>
      <c r="W760" s="7"/>
    </row>
    <row r="761">
      <c r="E761" s="62"/>
      <c r="F761" s="7"/>
      <c r="G761" s="7"/>
      <c r="I761" s="7"/>
      <c r="K761" s="62"/>
      <c r="L761" s="7"/>
      <c r="M761" s="7"/>
      <c r="O761" s="7"/>
      <c r="Q761" s="7"/>
      <c r="S761" s="7"/>
      <c r="U761" s="7"/>
      <c r="W761" s="7"/>
    </row>
    <row r="762">
      <c r="E762" s="62"/>
      <c r="F762" s="7"/>
      <c r="G762" s="7"/>
      <c r="I762" s="7"/>
      <c r="K762" s="62"/>
      <c r="L762" s="7"/>
      <c r="M762" s="7"/>
      <c r="O762" s="7"/>
      <c r="Q762" s="7"/>
      <c r="S762" s="7"/>
      <c r="U762" s="7"/>
      <c r="W762" s="7"/>
    </row>
    <row r="763">
      <c r="E763" s="62"/>
      <c r="F763" s="7"/>
      <c r="G763" s="7"/>
      <c r="I763" s="7"/>
      <c r="K763" s="62"/>
      <c r="L763" s="7"/>
      <c r="M763" s="7"/>
      <c r="O763" s="7"/>
      <c r="Q763" s="7"/>
      <c r="S763" s="7"/>
      <c r="U763" s="7"/>
      <c r="W763" s="7"/>
    </row>
    <row r="764">
      <c r="E764" s="62"/>
      <c r="F764" s="7"/>
      <c r="G764" s="7"/>
      <c r="I764" s="7"/>
      <c r="K764" s="62"/>
      <c r="L764" s="7"/>
      <c r="M764" s="7"/>
      <c r="O764" s="7"/>
      <c r="Q764" s="7"/>
      <c r="S764" s="7"/>
      <c r="U764" s="7"/>
      <c r="W764" s="7"/>
    </row>
    <row r="765">
      <c r="E765" s="62"/>
      <c r="F765" s="7"/>
      <c r="G765" s="7"/>
      <c r="I765" s="7"/>
      <c r="K765" s="62"/>
      <c r="L765" s="7"/>
      <c r="M765" s="7"/>
      <c r="O765" s="7"/>
      <c r="Q765" s="7"/>
      <c r="S765" s="7"/>
      <c r="U765" s="7"/>
      <c r="W765" s="7"/>
    </row>
    <row r="766">
      <c r="E766" s="62"/>
      <c r="F766" s="7"/>
      <c r="G766" s="7"/>
      <c r="I766" s="7"/>
      <c r="K766" s="62"/>
      <c r="L766" s="7"/>
      <c r="M766" s="7"/>
      <c r="O766" s="7"/>
      <c r="Q766" s="7"/>
      <c r="S766" s="7"/>
      <c r="U766" s="7"/>
      <c r="W766" s="7"/>
    </row>
    <row r="767">
      <c r="E767" s="62"/>
      <c r="F767" s="7"/>
      <c r="G767" s="7"/>
      <c r="I767" s="7"/>
      <c r="K767" s="62"/>
      <c r="L767" s="7"/>
      <c r="M767" s="7"/>
      <c r="O767" s="7"/>
      <c r="Q767" s="7"/>
      <c r="S767" s="7"/>
      <c r="U767" s="7"/>
      <c r="W767" s="7"/>
    </row>
    <row r="768">
      <c r="E768" s="62"/>
      <c r="F768" s="7"/>
      <c r="G768" s="7"/>
      <c r="I768" s="7"/>
      <c r="K768" s="62"/>
      <c r="L768" s="7"/>
      <c r="M768" s="7"/>
      <c r="O768" s="7"/>
      <c r="Q768" s="7"/>
      <c r="S768" s="7"/>
      <c r="U768" s="7"/>
      <c r="W768" s="7"/>
    </row>
    <row r="769">
      <c r="E769" s="62"/>
      <c r="F769" s="7"/>
      <c r="G769" s="7"/>
      <c r="I769" s="7"/>
      <c r="K769" s="62"/>
      <c r="L769" s="7"/>
      <c r="M769" s="7"/>
      <c r="O769" s="7"/>
      <c r="Q769" s="7"/>
      <c r="S769" s="7"/>
      <c r="U769" s="7"/>
      <c r="W769" s="7"/>
    </row>
    <row r="770">
      <c r="E770" s="62"/>
      <c r="F770" s="7"/>
      <c r="G770" s="7"/>
      <c r="I770" s="7"/>
      <c r="K770" s="62"/>
      <c r="L770" s="7"/>
      <c r="M770" s="7"/>
      <c r="O770" s="7"/>
      <c r="Q770" s="7"/>
      <c r="S770" s="7"/>
      <c r="U770" s="7"/>
      <c r="W770" s="7"/>
    </row>
    <row r="771">
      <c r="E771" s="62"/>
      <c r="F771" s="7"/>
      <c r="G771" s="7"/>
      <c r="I771" s="7"/>
      <c r="K771" s="62"/>
      <c r="L771" s="7"/>
      <c r="M771" s="7"/>
      <c r="O771" s="7"/>
      <c r="Q771" s="7"/>
      <c r="S771" s="7"/>
      <c r="U771" s="7"/>
      <c r="W771" s="7"/>
    </row>
    <row r="772">
      <c r="E772" s="62"/>
      <c r="F772" s="7"/>
      <c r="G772" s="7"/>
      <c r="I772" s="7"/>
      <c r="K772" s="62"/>
      <c r="L772" s="7"/>
      <c r="M772" s="7"/>
      <c r="O772" s="7"/>
      <c r="Q772" s="7"/>
      <c r="S772" s="7"/>
      <c r="U772" s="7"/>
      <c r="W772" s="7"/>
    </row>
    <row r="773">
      <c r="E773" s="62"/>
      <c r="F773" s="7"/>
      <c r="G773" s="7"/>
      <c r="I773" s="7"/>
      <c r="K773" s="62"/>
      <c r="L773" s="7"/>
      <c r="M773" s="7"/>
      <c r="O773" s="7"/>
      <c r="Q773" s="7"/>
      <c r="S773" s="7"/>
      <c r="U773" s="7"/>
      <c r="W773" s="7"/>
    </row>
    <row r="774">
      <c r="E774" s="62"/>
      <c r="F774" s="7"/>
      <c r="G774" s="7"/>
      <c r="I774" s="7"/>
      <c r="K774" s="62"/>
      <c r="L774" s="7"/>
      <c r="M774" s="7"/>
      <c r="O774" s="7"/>
      <c r="Q774" s="7"/>
      <c r="S774" s="7"/>
      <c r="U774" s="7"/>
      <c r="W774" s="7"/>
    </row>
    <row r="775">
      <c r="E775" s="62"/>
      <c r="F775" s="7"/>
      <c r="G775" s="7"/>
      <c r="I775" s="7"/>
      <c r="K775" s="62"/>
      <c r="L775" s="7"/>
      <c r="M775" s="7"/>
      <c r="O775" s="7"/>
      <c r="Q775" s="7"/>
      <c r="S775" s="7"/>
      <c r="U775" s="7"/>
      <c r="W775" s="7"/>
    </row>
    <row r="776">
      <c r="E776" s="62"/>
      <c r="F776" s="7"/>
      <c r="G776" s="7"/>
      <c r="I776" s="7"/>
      <c r="K776" s="62"/>
      <c r="L776" s="7"/>
      <c r="M776" s="7"/>
      <c r="O776" s="7"/>
      <c r="Q776" s="7"/>
      <c r="S776" s="7"/>
      <c r="U776" s="7"/>
      <c r="W776" s="7"/>
    </row>
    <row r="777">
      <c r="E777" s="62"/>
      <c r="F777" s="7"/>
      <c r="G777" s="7"/>
      <c r="I777" s="7"/>
      <c r="K777" s="62"/>
      <c r="L777" s="7"/>
      <c r="M777" s="7"/>
      <c r="O777" s="7"/>
      <c r="Q777" s="7"/>
      <c r="S777" s="7"/>
      <c r="U777" s="7"/>
      <c r="W777" s="7"/>
    </row>
    <row r="778">
      <c r="E778" s="62"/>
      <c r="F778" s="7"/>
      <c r="G778" s="7"/>
      <c r="I778" s="7"/>
      <c r="K778" s="62"/>
      <c r="L778" s="7"/>
      <c r="M778" s="7"/>
      <c r="O778" s="7"/>
      <c r="Q778" s="7"/>
      <c r="S778" s="7"/>
      <c r="U778" s="7"/>
      <c r="W778" s="7"/>
    </row>
    <row r="779">
      <c r="E779" s="62"/>
      <c r="F779" s="7"/>
      <c r="G779" s="7"/>
      <c r="I779" s="7"/>
      <c r="K779" s="62"/>
      <c r="L779" s="7"/>
      <c r="M779" s="7"/>
      <c r="O779" s="7"/>
      <c r="Q779" s="7"/>
      <c r="S779" s="7"/>
      <c r="U779" s="7"/>
      <c r="W779" s="7"/>
    </row>
    <row r="780">
      <c r="E780" s="62"/>
      <c r="F780" s="7"/>
      <c r="G780" s="7"/>
      <c r="I780" s="7"/>
      <c r="K780" s="62"/>
      <c r="L780" s="7"/>
      <c r="M780" s="7"/>
      <c r="O780" s="7"/>
      <c r="Q780" s="7"/>
      <c r="S780" s="7"/>
      <c r="U780" s="7"/>
      <c r="W780" s="7"/>
    </row>
    <row r="781">
      <c r="E781" s="62"/>
      <c r="F781" s="7"/>
      <c r="G781" s="7"/>
      <c r="I781" s="7"/>
      <c r="K781" s="62"/>
      <c r="L781" s="7"/>
      <c r="M781" s="7"/>
      <c r="O781" s="7"/>
      <c r="Q781" s="7"/>
      <c r="S781" s="7"/>
      <c r="U781" s="7"/>
      <c r="W781" s="7"/>
    </row>
    <row r="782">
      <c r="E782" s="62"/>
      <c r="F782" s="7"/>
      <c r="G782" s="7"/>
      <c r="I782" s="7"/>
      <c r="K782" s="62"/>
      <c r="L782" s="7"/>
      <c r="M782" s="7"/>
      <c r="O782" s="7"/>
      <c r="Q782" s="7"/>
      <c r="S782" s="7"/>
      <c r="U782" s="7"/>
      <c r="W782" s="7"/>
    </row>
    <row r="783">
      <c r="E783" s="62"/>
      <c r="F783" s="7"/>
      <c r="G783" s="7"/>
      <c r="I783" s="7"/>
      <c r="K783" s="62"/>
      <c r="L783" s="7"/>
      <c r="M783" s="7"/>
      <c r="O783" s="7"/>
      <c r="Q783" s="7"/>
      <c r="S783" s="7"/>
      <c r="U783" s="7"/>
      <c r="W783" s="7"/>
    </row>
    <row r="784">
      <c r="E784" s="62"/>
      <c r="F784" s="7"/>
      <c r="G784" s="7"/>
      <c r="I784" s="7"/>
      <c r="K784" s="62"/>
      <c r="L784" s="7"/>
      <c r="M784" s="7"/>
      <c r="O784" s="7"/>
      <c r="Q784" s="7"/>
      <c r="S784" s="7"/>
      <c r="U784" s="7"/>
      <c r="W784" s="7"/>
    </row>
    <row r="785">
      <c r="E785" s="62"/>
      <c r="F785" s="7"/>
      <c r="G785" s="7"/>
      <c r="I785" s="7"/>
      <c r="K785" s="62"/>
      <c r="L785" s="7"/>
      <c r="M785" s="7"/>
      <c r="O785" s="7"/>
      <c r="Q785" s="7"/>
      <c r="S785" s="7"/>
      <c r="U785" s="7"/>
      <c r="W785" s="7"/>
    </row>
    <row r="786">
      <c r="E786" s="62"/>
      <c r="F786" s="7"/>
      <c r="G786" s="7"/>
      <c r="I786" s="7"/>
      <c r="K786" s="62"/>
      <c r="L786" s="7"/>
      <c r="M786" s="7"/>
      <c r="O786" s="7"/>
      <c r="Q786" s="7"/>
      <c r="S786" s="7"/>
      <c r="U786" s="7"/>
      <c r="W786" s="7"/>
    </row>
    <row r="787">
      <c r="E787" s="62"/>
      <c r="F787" s="7"/>
      <c r="G787" s="7"/>
      <c r="I787" s="7"/>
      <c r="K787" s="62"/>
      <c r="L787" s="7"/>
      <c r="M787" s="7"/>
      <c r="O787" s="7"/>
      <c r="Q787" s="7"/>
      <c r="S787" s="7"/>
      <c r="U787" s="7"/>
      <c r="W787" s="7"/>
    </row>
    <row r="788">
      <c r="E788" s="62"/>
      <c r="F788" s="7"/>
      <c r="G788" s="7"/>
      <c r="I788" s="7"/>
      <c r="K788" s="62"/>
      <c r="L788" s="7"/>
      <c r="M788" s="7"/>
      <c r="O788" s="7"/>
      <c r="Q788" s="7"/>
      <c r="S788" s="7"/>
      <c r="U788" s="7"/>
      <c r="W788" s="7"/>
    </row>
    <row r="789">
      <c r="E789" s="62"/>
      <c r="F789" s="7"/>
      <c r="G789" s="7"/>
      <c r="I789" s="7"/>
      <c r="K789" s="62"/>
      <c r="L789" s="7"/>
      <c r="M789" s="7"/>
      <c r="O789" s="7"/>
      <c r="Q789" s="7"/>
      <c r="S789" s="7"/>
      <c r="U789" s="7"/>
      <c r="W789" s="7"/>
    </row>
    <row r="790">
      <c r="E790" s="62"/>
      <c r="F790" s="7"/>
      <c r="G790" s="7"/>
      <c r="I790" s="7"/>
      <c r="K790" s="62"/>
      <c r="L790" s="7"/>
      <c r="M790" s="7"/>
      <c r="O790" s="7"/>
      <c r="Q790" s="7"/>
      <c r="S790" s="7"/>
      <c r="U790" s="7"/>
      <c r="W790" s="7"/>
    </row>
    <row r="791">
      <c r="E791" s="62"/>
      <c r="F791" s="7"/>
      <c r="G791" s="7"/>
      <c r="I791" s="7"/>
      <c r="K791" s="62"/>
      <c r="L791" s="7"/>
      <c r="M791" s="7"/>
      <c r="O791" s="7"/>
      <c r="Q791" s="7"/>
      <c r="S791" s="7"/>
      <c r="U791" s="7"/>
      <c r="W791" s="7"/>
    </row>
    <row r="792">
      <c r="E792" s="62"/>
      <c r="F792" s="7"/>
      <c r="G792" s="7"/>
      <c r="I792" s="7"/>
      <c r="K792" s="62"/>
      <c r="L792" s="7"/>
      <c r="M792" s="7"/>
      <c r="O792" s="7"/>
      <c r="Q792" s="7"/>
      <c r="S792" s="7"/>
      <c r="U792" s="7"/>
      <c r="W792" s="7"/>
    </row>
    <row r="793">
      <c r="E793" s="62"/>
      <c r="F793" s="7"/>
      <c r="G793" s="7"/>
      <c r="I793" s="7"/>
      <c r="K793" s="62"/>
      <c r="L793" s="7"/>
      <c r="M793" s="7"/>
      <c r="O793" s="7"/>
      <c r="Q793" s="7"/>
      <c r="S793" s="7"/>
      <c r="U793" s="7"/>
      <c r="W793" s="7"/>
    </row>
    <row r="794">
      <c r="E794" s="62"/>
      <c r="F794" s="7"/>
      <c r="G794" s="7"/>
      <c r="I794" s="7"/>
      <c r="K794" s="62"/>
      <c r="L794" s="7"/>
      <c r="M794" s="7"/>
      <c r="O794" s="7"/>
      <c r="Q794" s="7"/>
      <c r="S794" s="7"/>
      <c r="U794" s="7"/>
      <c r="W794" s="7"/>
    </row>
    <row r="795">
      <c r="E795" s="62"/>
      <c r="F795" s="7"/>
      <c r="G795" s="7"/>
      <c r="I795" s="7"/>
      <c r="K795" s="62"/>
      <c r="L795" s="7"/>
      <c r="M795" s="7"/>
      <c r="O795" s="7"/>
      <c r="Q795" s="7"/>
      <c r="S795" s="7"/>
      <c r="U795" s="7"/>
      <c r="W795" s="7"/>
    </row>
    <row r="796">
      <c r="E796" s="62"/>
      <c r="F796" s="7"/>
      <c r="G796" s="7"/>
      <c r="I796" s="7"/>
      <c r="K796" s="62"/>
      <c r="L796" s="7"/>
      <c r="M796" s="7"/>
      <c r="O796" s="7"/>
      <c r="Q796" s="7"/>
      <c r="S796" s="7"/>
      <c r="U796" s="7"/>
      <c r="W796" s="7"/>
    </row>
    <row r="797">
      <c r="E797" s="62"/>
      <c r="F797" s="7"/>
      <c r="G797" s="7"/>
      <c r="I797" s="7"/>
      <c r="K797" s="62"/>
      <c r="L797" s="7"/>
      <c r="M797" s="7"/>
      <c r="O797" s="7"/>
      <c r="Q797" s="7"/>
      <c r="S797" s="7"/>
      <c r="U797" s="7"/>
      <c r="W797" s="7"/>
    </row>
    <row r="798">
      <c r="E798" s="62"/>
      <c r="F798" s="7"/>
      <c r="G798" s="7"/>
      <c r="I798" s="7"/>
      <c r="K798" s="62"/>
      <c r="L798" s="7"/>
      <c r="M798" s="7"/>
      <c r="O798" s="7"/>
      <c r="Q798" s="7"/>
      <c r="S798" s="7"/>
      <c r="U798" s="7"/>
      <c r="W798" s="7"/>
    </row>
    <row r="799">
      <c r="E799" s="62"/>
      <c r="F799" s="7"/>
      <c r="G799" s="7"/>
      <c r="I799" s="7"/>
      <c r="K799" s="62"/>
      <c r="L799" s="7"/>
      <c r="M799" s="7"/>
      <c r="O799" s="7"/>
      <c r="Q799" s="7"/>
      <c r="S799" s="7"/>
      <c r="U799" s="7"/>
      <c r="W799" s="7"/>
    </row>
    <row r="800">
      <c r="E800" s="62"/>
      <c r="F800" s="7"/>
      <c r="G800" s="7"/>
      <c r="I800" s="7"/>
      <c r="K800" s="62"/>
      <c r="L800" s="7"/>
      <c r="M800" s="7"/>
      <c r="O800" s="7"/>
      <c r="Q800" s="7"/>
      <c r="S800" s="7"/>
      <c r="U800" s="7"/>
      <c r="W800" s="7"/>
    </row>
    <row r="801">
      <c r="E801" s="62"/>
      <c r="F801" s="7"/>
      <c r="G801" s="7"/>
      <c r="I801" s="7"/>
      <c r="K801" s="62"/>
      <c r="L801" s="7"/>
      <c r="M801" s="7"/>
      <c r="O801" s="7"/>
      <c r="Q801" s="7"/>
      <c r="S801" s="7"/>
      <c r="U801" s="7"/>
      <c r="W801" s="7"/>
    </row>
    <row r="802">
      <c r="E802" s="62"/>
      <c r="F802" s="7"/>
      <c r="G802" s="7"/>
      <c r="I802" s="7"/>
      <c r="K802" s="62"/>
      <c r="L802" s="7"/>
      <c r="M802" s="7"/>
      <c r="O802" s="7"/>
      <c r="Q802" s="7"/>
      <c r="S802" s="7"/>
      <c r="U802" s="7"/>
      <c r="W802" s="7"/>
    </row>
    <row r="803">
      <c r="E803" s="62"/>
      <c r="F803" s="7"/>
      <c r="G803" s="7"/>
      <c r="I803" s="7"/>
      <c r="K803" s="62"/>
      <c r="L803" s="7"/>
      <c r="M803" s="7"/>
      <c r="O803" s="7"/>
      <c r="Q803" s="7"/>
      <c r="S803" s="7"/>
      <c r="U803" s="7"/>
      <c r="W803" s="7"/>
    </row>
    <row r="804">
      <c r="E804" s="62"/>
      <c r="F804" s="7"/>
      <c r="G804" s="7"/>
      <c r="I804" s="7"/>
      <c r="K804" s="62"/>
      <c r="L804" s="7"/>
      <c r="M804" s="7"/>
      <c r="O804" s="7"/>
      <c r="Q804" s="7"/>
      <c r="S804" s="7"/>
      <c r="U804" s="7"/>
      <c r="W804" s="7"/>
    </row>
    <row r="805">
      <c r="E805" s="62"/>
      <c r="F805" s="7"/>
      <c r="G805" s="7"/>
      <c r="I805" s="7"/>
      <c r="K805" s="62"/>
      <c r="L805" s="7"/>
      <c r="M805" s="7"/>
      <c r="O805" s="7"/>
      <c r="Q805" s="7"/>
      <c r="S805" s="7"/>
      <c r="U805" s="7"/>
      <c r="W805" s="7"/>
    </row>
    <row r="806">
      <c r="E806" s="62"/>
      <c r="F806" s="7"/>
      <c r="G806" s="7"/>
      <c r="I806" s="7"/>
      <c r="K806" s="62"/>
      <c r="L806" s="7"/>
      <c r="M806" s="7"/>
      <c r="O806" s="7"/>
      <c r="Q806" s="7"/>
      <c r="S806" s="7"/>
      <c r="U806" s="7"/>
      <c r="W806" s="7"/>
    </row>
    <row r="807">
      <c r="E807" s="62"/>
      <c r="F807" s="7"/>
      <c r="G807" s="7"/>
      <c r="I807" s="7"/>
      <c r="K807" s="62"/>
      <c r="L807" s="7"/>
      <c r="M807" s="7"/>
      <c r="O807" s="7"/>
      <c r="Q807" s="7"/>
      <c r="S807" s="7"/>
      <c r="U807" s="7"/>
      <c r="W807" s="7"/>
    </row>
    <row r="808">
      <c r="E808" s="62"/>
      <c r="F808" s="7"/>
      <c r="G808" s="7"/>
      <c r="I808" s="7"/>
      <c r="K808" s="62"/>
      <c r="L808" s="7"/>
      <c r="M808" s="7"/>
      <c r="O808" s="7"/>
      <c r="Q808" s="7"/>
      <c r="S808" s="7"/>
      <c r="U808" s="7"/>
      <c r="W808" s="7"/>
    </row>
    <row r="809">
      <c r="E809" s="62"/>
      <c r="F809" s="7"/>
      <c r="G809" s="7"/>
      <c r="I809" s="7"/>
      <c r="K809" s="62"/>
      <c r="L809" s="7"/>
      <c r="M809" s="7"/>
      <c r="O809" s="7"/>
      <c r="Q809" s="7"/>
      <c r="S809" s="7"/>
      <c r="U809" s="7"/>
      <c r="W809" s="7"/>
    </row>
    <row r="810">
      <c r="E810" s="62"/>
      <c r="F810" s="7"/>
      <c r="G810" s="7"/>
      <c r="I810" s="7"/>
      <c r="K810" s="62"/>
      <c r="L810" s="7"/>
      <c r="M810" s="7"/>
      <c r="O810" s="7"/>
      <c r="Q810" s="7"/>
      <c r="S810" s="7"/>
      <c r="U810" s="7"/>
      <c r="W810" s="7"/>
    </row>
    <row r="811">
      <c r="E811" s="62"/>
      <c r="F811" s="7"/>
      <c r="G811" s="7"/>
      <c r="I811" s="7"/>
      <c r="K811" s="62"/>
      <c r="L811" s="7"/>
      <c r="M811" s="7"/>
      <c r="O811" s="7"/>
      <c r="Q811" s="7"/>
      <c r="S811" s="7"/>
      <c r="U811" s="7"/>
      <c r="W811" s="7"/>
    </row>
    <row r="812">
      <c r="E812" s="62"/>
      <c r="F812" s="7"/>
      <c r="G812" s="7"/>
      <c r="I812" s="7"/>
      <c r="K812" s="62"/>
      <c r="L812" s="7"/>
      <c r="M812" s="7"/>
      <c r="O812" s="7"/>
      <c r="Q812" s="7"/>
      <c r="S812" s="7"/>
      <c r="U812" s="7"/>
      <c r="W812" s="7"/>
    </row>
    <row r="813">
      <c r="E813" s="62"/>
      <c r="F813" s="7"/>
      <c r="G813" s="7"/>
      <c r="I813" s="7"/>
      <c r="K813" s="62"/>
      <c r="L813" s="7"/>
      <c r="M813" s="7"/>
      <c r="O813" s="7"/>
      <c r="Q813" s="7"/>
      <c r="S813" s="7"/>
      <c r="U813" s="7"/>
      <c r="W813" s="7"/>
    </row>
    <row r="814">
      <c r="E814" s="62"/>
      <c r="F814" s="7"/>
      <c r="G814" s="7"/>
      <c r="I814" s="7"/>
      <c r="K814" s="62"/>
      <c r="L814" s="7"/>
      <c r="M814" s="7"/>
      <c r="O814" s="7"/>
      <c r="Q814" s="7"/>
      <c r="S814" s="7"/>
      <c r="U814" s="7"/>
      <c r="W814" s="7"/>
    </row>
    <row r="815">
      <c r="E815" s="62"/>
      <c r="F815" s="7"/>
      <c r="G815" s="7"/>
      <c r="I815" s="7"/>
      <c r="K815" s="62"/>
      <c r="L815" s="7"/>
      <c r="M815" s="7"/>
      <c r="O815" s="7"/>
      <c r="Q815" s="7"/>
      <c r="S815" s="7"/>
      <c r="U815" s="7"/>
      <c r="W815" s="7"/>
    </row>
    <row r="816">
      <c r="E816" s="62"/>
      <c r="F816" s="7"/>
      <c r="G816" s="7"/>
      <c r="I816" s="7"/>
      <c r="K816" s="62"/>
      <c r="L816" s="7"/>
      <c r="M816" s="7"/>
      <c r="O816" s="7"/>
      <c r="Q816" s="7"/>
      <c r="S816" s="7"/>
      <c r="U816" s="7"/>
      <c r="W816" s="7"/>
    </row>
    <row r="817">
      <c r="E817" s="62"/>
      <c r="F817" s="7"/>
      <c r="G817" s="7"/>
      <c r="I817" s="7"/>
      <c r="K817" s="62"/>
      <c r="L817" s="7"/>
      <c r="M817" s="7"/>
      <c r="O817" s="7"/>
      <c r="Q817" s="7"/>
      <c r="S817" s="7"/>
      <c r="U817" s="7"/>
      <c r="W817" s="7"/>
    </row>
    <row r="818">
      <c r="E818" s="62"/>
      <c r="F818" s="7"/>
      <c r="G818" s="7"/>
      <c r="I818" s="7"/>
      <c r="K818" s="62"/>
      <c r="L818" s="7"/>
      <c r="M818" s="7"/>
      <c r="O818" s="7"/>
      <c r="Q818" s="7"/>
      <c r="S818" s="7"/>
      <c r="U818" s="7"/>
      <c r="W818" s="7"/>
    </row>
    <row r="819">
      <c r="E819" s="62"/>
      <c r="F819" s="7"/>
      <c r="G819" s="7"/>
      <c r="I819" s="7"/>
      <c r="K819" s="62"/>
      <c r="L819" s="7"/>
      <c r="M819" s="7"/>
      <c r="O819" s="7"/>
      <c r="Q819" s="7"/>
      <c r="S819" s="7"/>
      <c r="U819" s="7"/>
      <c r="W819" s="7"/>
    </row>
    <row r="820">
      <c r="E820" s="62"/>
      <c r="F820" s="7"/>
      <c r="G820" s="7"/>
      <c r="I820" s="7"/>
      <c r="K820" s="62"/>
      <c r="L820" s="7"/>
      <c r="M820" s="7"/>
      <c r="O820" s="7"/>
      <c r="Q820" s="7"/>
      <c r="S820" s="7"/>
      <c r="U820" s="7"/>
      <c r="W820" s="7"/>
    </row>
    <row r="821">
      <c r="E821" s="62"/>
      <c r="F821" s="7"/>
      <c r="G821" s="7"/>
      <c r="I821" s="7"/>
      <c r="K821" s="62"/>
      <c r="L821" s="7"/>
      <c r="M821" s="7"/>
      <c r="O821" s="7"/>
      <c r="Q821" s="7"/>
      <c r="S821" s="7"/>
      <c r="U821" s="7"/>
      <c r="W821" s="7"/>
    </row>
    <row r="822">
      <c r="E822" s="62"/>
      <c r="F822" s="7"/>
      <c r="G822" s="7"/>
      <c r="I822" s="7"/>
      <c r="K822" s="62"/>
      <c r="L822" s="7"/>
      <c r="M822" s="7"/>
      <c r="O822" s="7"/>
      <c r="Q822" s="7"/>
      <c r="S822" s="7"/>
      <c r="U822" s="7"/>
      <c r="W822" s="7"/>
    </row>
    <row r="823">
      <c r="E823" s="62"/>
      <c r="F823" s="7"/>
      <c r="G823" s="7"/>
      <c r="I823" s="7"/>
      <c r="K823" s="62"/>
      <c r="L823" s="7"/>
      <c r="M823" s="7"/>
      <c r="O823" s="7"/>
      <c r="Q823" s="7"/>
      <c r="S823" s="7"/>
      <c r="U823" s="7"/>
      <c r="W823" s="7"/>
    </row>
    <row r="824">
      <c r="E824" s="62"/>
      <c r="F824" s="7"/>
      <c r="G824" s="7"/>
      <c r="I824" s="7"/>
      <c r="K824" s="62"/>
      <c r="L824" s="7"/>
      <c r="M824" s="7"/>
      <c r="O824" s="7"/>
      <c r="Q824" s="7"/>
      <c r="S824" s="7"/>
      <c r="U824" s="7"/>
      <c r="W824" s="7"/>
    </row>
    <row r="825">
      <c r="E825" s="62"/>
      <c r="F825" s="7"/>
      <c r="G825" s="7"/>
      <c r="I825" s="7"/>
      <c r="K825" s="62"/>
      <c r="L825" s="7"/>
      <c r="M825" s="7"/>
      <c r="O825" s="7"/>
      <c r="Q825" s="7"/>
      <c r="S825" s="7"/>
      <c r="U825" s="7"/>
      <c r="W825" s="7"/>
    </row>
    <row r="826">
      <c r="E826" s="62"/>
      <c r="F826" s="7"/>
      <c r="G826" s="7"/>
      <c r="I826" s="7"/>
      <c r="K826" s="62"/>
      <c r="L826" s="7"/>
      <c r="M826" s="7"/>
      <c r="O826" s="7"/>
      <c r="Q826" s="7"/>
      <c r="S826" s="7"/>
      <c r="U826" s="7"/>
      <c r="W826" s="7"/>
    </row>
    <row r="827">
      <c r="E827" s="62"/>
      <c r="F827" s="7"/>
      <c r="G827" s="7"/>
      <c r="I827" s="7"/>
      <c r="K827" s="62"/>
      <c r="L827" s="7"/>
      <c r="M827" s="7"/>
      <c r="O827" s="7"/>
      <c r="Q827" s="7"/>
      <c r="S827" s="7"/>
      <c r="U827" s="7"/>
      <c r="W827" s="7"/>
    </row>
    <row r="828">
      <c r="E828" s="62"/>
      <c r="F828" s="7"/>
      <c r="G828" s="7"/>
      <c r="I828" s="7"/>
      <c r="K828" s="62"/>
      <c r="L828" s="7"/>
      <c r="M828" s="7"/>
      <c r="O828" s="7"/>
      <c r="Q828" s="7"/>
      <c r="S828" s="7"/>
      <c r="U828" s="7"/>
      <c r="W828" s="7"/>
    </row>
    <row r="829">
      <c r="E829" s="62"/>
      <c r="F829" s="7"/>
      <c r="G829" s="7"/>
      <c r="I829" s="7"/>
      <c r="K829" s="62"/>
      <c r="L829" s="7"/>
      <c r="M829" s="7"/>
      <c r="O829" s="7"/>
      <c r="Q829" s="7"/>
      <c r="S829" s="7"/>
      <c r="U829" s="7"/>
      <c r="W829" s="7"/>
    </row>
    <row r="830">
      <c r="E830" s="62"/>
      <c r="F830" s="7"/>
      <c r="G830" s="7"/>
      <c r="I830" s="7"/>
      <c r="K830" s="62"/>
      <c r="L830" s="7"/>
      <c r="M830" s="7"/>
      <c r="O830" s="7"/>
      <c r="Q830" s="7"/>
      <c r="S830" s="7"/>
      <c r="U830" s="7"/>
      <c r="W830" s="7"/>
    </row>
    <row r="831">
      <c r="E831" s="62"/>
      <c r="F831" s="7"/>
      <c r="G831" s="7"/>
      <c r="I831" s="7"/>
      <c r="K831" s="62"/>
      <c r="L831" s="7"/>
      <c r="M831" s="7"/>
      <c r="O831" s="7"/>
      <c r="Q831" s="7"/>
      <c r="S831" s="7"/>
      <c r="U831" s="7"/>
      <c r="W831" s="7"/>
    </row>
    <row r="832">
      <c r="E832" s="62"/>
      <c r="F832" s="7"/>
      <c r="G832" s="7"/>
      <c r="I832" s="7"/>
      <c r="K832" s="62"/>
      <c r="L832" s="7"/>
      <c r="M832" s="7"/>
      <c r="O832" s="7"/>
      <c r="Q832" s="7"/>
      <c r="S832" s="7"/>
      <c r="U832" s="7"/>
      <c r="W832" s="7"/>
    </row>
    <row r="833">
      <c r="E833" s="62"/>
      <c r="F833" s="7"/>
      <c r="G833" s="7"/>
      <c r="I833" s="7"/>
      <c r="K833" s="62"/>
      <c r="L833" s="7"/>
      <c r="M833" s="7"/>
      <c r="O833" s="7"/>
      <c r="Q833" s="7"/>
      <c r="S833" s="7"/>
      <c r="U833" s="7"/>
      <c r="W833" s="7"/>
    </row>
    <row r="834">
      <c r="E834" s="62"/>
      <c r="F834" s="7"/>
      <c r="G834" s="7"/>
      <c r="I834" s="7"/>
      <c r="K834" s="62"/>
      <c r="L834" s="7"/>
      <c r="M834" s="7"/>
      <c r="O834" s="7"/>
      <c r="Q834" s="7"/>
      <c r="S834" s="7"/>
      <c r="U834" s="7"/>
      <c r="W834" s="7"/>
    </row>
    <row r="835">
      <c r="E835" s="62"/>
      <c r="F835" s="7"/>
      <c r="G835" s="7"/>
      <c r="I835" s="7"/>
      <c r="K835" s="62"/>
      <c r="L835" s="7"/>
      <c r="M835" s="7"/>
      <c r="O835" s="7"/>
      <c r="Q835" s="7"/>
      <c r="S835" s="7"/>
      <c r="U835" s="7"/>
      <c r="W835" s="7"/>
    </row>
    <row r="836">
      <c r="E836" s="62"/>
      <c r="F836" s="7"/>
      <c r="G836" s="7"/>
      <c r="I836" s="7"/>
      <c r="K836" s="62"/>
      <c r="L836" s="7"/>
      <c r="M836" s="7"/>
      <c r="O836" s="7"/>
      <c r="Q836" s="7"/>
      <c r="S836" s="7"/>
      <c r="U836" s="7"/>
      <c r="W836" s="7"/>
    </row>
    <row r="837">
      <c r="E837" s="62"/>
      <c r="F837" s="7"/>
      <c r="G837" s="7"/>
      <c r="I837" s="7"/>
      <c r="K837" s="62"/>
      <c r="L837" s="7"/>
      <c r="M837" s="7"/>
      <c r="O837" s="7"/>
      <c r="Q837" s="7"/>
      <c r="S837" s="7"/>
      <c r="U837" s="7"/>
      <c r="W837" s="7"/>
    </row>
    <row r="838">
      <c r="E838" s="62"/>
      <c r="F838" s="7"/>
      <c r="G838" s="7"/>
      <c r="I838" s="7"/>
      <c r="K838" s="62"/>
      <c r="L838" s="7"/>
      <c r="M838" s="7"/>
      <c r="O838" s="7"/>
      <c r="Q838" s="7"/>
      <c r="S838" s="7"/>
      <c r="U838" s="7"/>
      <c r="W838" s="7"/>
    </row>
    <row r="839">
      <c r="E839" s="62"/>
      <c r="F839" s="7"/>
      <c r="G839" s="7"/>
      <c r="I839" s="7"/>
      <c r="K839" s="62"/>
      <c r="L839" s="7"/>
      <c r="M839" s="7"/>
      <c r="O839" s="7"/>
      <c r="Q839" s="7"/>
      <c r="S839" s="7"/>
      <c r="U839" s="7"/>
      <c r="W839" s="7"/>
    </row>
    <row r="840">
      <c r="E840" s="62"/>
      <c r="F840" s="7"/>
      <c r="G840" s="7"/>
      <c r="I840" s="7"/>
      <c r="K840" s="62"/>
      <c r="L840" s="7"/>
      <c r="M840" s="7"/>
      <c r="O840" s="7"/>
      <c r="Q840" s="7"/>
      <c r="S840" s="7"/>
      <c r="U840" s="7"/>
      <c r="W840" s="7"/>
    </row>
    <row r="841">
      <c r="E841" s="62"/>
      <c r="F841" s="7"/>
      <c r="G841" s="7"/>
      <c r="I841" s="7"/>
      <c r="K841" s="62"/>
      <c r="L841" s="7"/>
      <c r="M841" s="7"/>
      <c r="O841" s="7"/>
      <c r="Q841" s="7"/>
      <c r="S841" s="7"/>
      <c r="U841" s="7"/>
      <c r="W841" s="7"/>
    </row>
    <row r="842">
      <c r="E842" s="62"/>
      <c r="F842" s="7"/>
      <c r="G842" s="7"/>
      <c r="I842" s="7"/>
      <c r="K842" s="62"/>
      <c r="L842" s="7"/>
      <c r="M842" s="7"/>
      <c r="O842" s="7"/>
      <c r="Q842" s="7"/>
      <c r="S842" s="7"/>
      <c r="U842" s="7"/>
      <c r="W842" s="7"/>
    </row>
    <row r="843">
      <c r="E843" s="62"/>
      <c r="F843" s="7"/>
      <c r="G843" s="7"/>
      <c r="I843" s="7"/>
      <c r="K843" s="62"/>
      <c r="L843" s="7"/>
      <c r="M843" s="7"/>
      <c r="O843" s="7"/>
      <c r="Q843" s="7"/>
      <c r="S843" s="7"/>
      <c r="U843" s="7"/>
      <c r="W843" s="7"/>
    </row>
    <row r="844">
      <c r="E844" s="62"/>
      <c r="F844" s="7"/>
      <c r="G844" s="7"/>
      <c r="I844" s="7"/>
      <c r="K844" s="62"/>
      <c r="L844" s="7"/>
      <c r="M844" s="7"/>
      <c r="O844" s="7"/>
      <c r="Q844" s="7"/>
      <c r="S844" s="7"/>
      <c r="U844" s="7"/>
      <c r="W844" s="7"/>
    </row>
    <row r="845">
      <c r="E845" s="62"/>
      <c r="F845" s="7"/>
      <c r="G845" s="7"/>
      <c r="I845" s="7"/>
      <c r="K845" s="62"/>
      <c r="L845" s="7"/>
      <c r="M845" s="7"/>
      <c r="O845" s="7"/>
      <c r="Q845" s="7"/>
      <c r="S845" s="7"/>
      <c r="U845" s="7"/>
      <c r="W845" s="7"/>
    </row>
    <row r="846">
      <c r="E846" s="62"/>
      <c r="F846" s="7"/>
      <c r="G846" s="7"/>
      <c r="I846" s="7"/>
      <c r="K846" s="62"/>
      <c r="L846" s="7"/>
      <c r="M846" s="7"/>
      <c r="O846" s="7"/>
      <c r="Q846" s="7"/>
      <c r="S846" s="7"/>
      <c r="U846" s="7"/>
      <c r="W846" s="7"/>
    </row>
    <row r="847">
      <c r="E847" s="62"/>
      <c r="F847" s="7"/>
      <c r="G847" s="7"/>
      <c r="I847" s="7"/>
      <c r="K847" s="62"/>
      <c r="L847" s="7"/>
      <c r="M847" s="7"/>
      <c r="O847" s="7"/>
      <c r="Q847" s="7"/>
      <c r="S847" s="7"/>
      <c r="U847" s="7"/>
      <c r="W847" s="7"/>
    </row>
    <row r="848">
      <c r="E848" s="62"/>
      <c r="F848" s="7"/>
      <c r="G848" s="7"/>
      <c r="I848" s="7"/>
      <c r="K848" s="62"/>
      <c r="L848" s="7"/>
      <c r="M848" s="7"/>
      <c r="O848" s="7"/>
      <c r="Q848" s="7"/>
      <c r="S848" s="7"/>
      <c r="U848" s="7"/>
      <c r="W848" s="7"/>
    </row>
    <row r="849">
      <c r="E849" s="62"/>
      <c r="F849" s="7"/>
      <c r="G849" s="7"/>
      <c r="I849" s="7"/>
      <c r="K849" s="62"/>
      <c r="L849" s="7"/>
      <c r="M849" s="7"/>
      <c r="O849" s="7"/>
      <c r="Q849" s="7"/>
      <c r="S849" s="7"/>
      <c r="U849" s="7"/>
      <c r="W849" s="7"/>
    </row>
    <row r="850">
      <c r="E850" s="62"/>
      <c r="F850" s="7"/>
      <c r="G850" s="7"/>
      <c r="I850" s="7"/>
      <c r="K850" s="62"/>
      <c r="L850" s="7"/>
      <c r="M850" s="7"/>
      <c r="O850" s="7"/>
      <c r="Q850" s="7"/>
      <c r="S850" s="7"/>
      <c r="U850" s="7"/>
      <c r="W850" s="7"/>
    </row>
    <row r="851">
      <c r="E851" s="62"/>
      <c r="F851" s="7"/>
      <c r="G851" s="7"/>
      <c r="I851" s="7"/>
      <c r="K851" s="62"/>
      <c r="L851" s="7"/>
      <c r="M851" s="7"/>
      <c r="O851" s="7"/>
      <c r="Q851" s="7"/>
      <c r="S851" s="7"/>
      <c r="U851" s="7"/>
      <c r="W851" s="7"/>
    </row>
    <row r="852">
      <c r="E852" s="62"/>
      <c r="F852" s="7"/>
      <c r="G852" s="7"/>
      <c r="I852" s="7"/>
      <c r="K852" s="62"/>
      <c r="L852" s="7"/>
      <c r="M852" s="7"/>
      <c r="O852" s="7"/>
      <c r="Q852" s="7"/>
      <c r="S852" s="7"/>
      <c r="U852" s="7"/>
      <c r="W852" s="7"/>
    </row>
    <row r="853">
      <c r="E853" s="62"/>
      <c r="F853" s="7"/>
      <c r="G853" s="7"/>
      <c r="I853" s="7"/>
      <c r="K853" s="62"/>
      <c r="L853" s="7"/>
      <c r="M853" s="7"/>
      <c r="O853" s="7"/>
      <c r="Q853" s="7"/>
      <c r="S853" s="7"/>
      <c r="U853" s="7"/>
      <c r="W853" s="7"/>
    </row>
    <row r="854">
      <c r="E854" s="62"/>
      <c r="F854" s="7"/>
      <c r="G854" s="7"/>
      <c r="I854" s="7"/>
      <c r="K854" s="62"/>
      <c r="L854" s="7"/>
      <c r="M854" s="7"/>
      <c r="O854" s="7"/>
      <c r="Q854" s="7"/>
      <c r="S854" s="7"/>
      <c r="U854" s="7"/>
      <c r="W854" s="7"/>
    </row>
    <row r="855">
      <c r="E855" s="62"/>
      <c r="F855" s="7"/>
      <c r="G855" s="7"/>
      <c r="I855" s="7"/>
      <c r="K855" s="62"/>
      <c r="L855" s="7"/>
      <c r="M855" s="7"/>
      <c r="O855" s="7"/>
      <c r="Q855" s="7"/>
      <c r="S855" s="7"/>
      <c r="U855" s="7"/>
      <c r="W855" s="7"/>
    </row>
    <row r="856">
      <c r="E856" s="62"/>
      <c r="F856" s="7"/>
      <c r="G856" s="7"/>
      <c r="I856" s="7"/>
      <c r="K856" s="62"/>
      <c r="L856" s="7"/>
      <c r="M856" s="7"/>
      <c r="O856" s="7"/>
      <c r="Q856" s="7"/>
      <c r="S856" s="7"/>
      <c r="U856" s="7"/>
      <c r="W856" s="7"/>
    </row>
    <row r="857">
      <c r="E857" s="62"/>
      <c r="F857" s="7"/>
      <c r="G857" s="7"/>
      <c r="I857" s="7"/>
      <c r="K857" s="62"/>
      <c r="L857" s="7"/>
      <c r="M857" s="7"/>
      <c r="O857" s="7"/>
      <c r="Q857" s="7"/>
      <c r="S857" s="7"/>
      <c r="U857" s="7"/>
      <c r="W857" s="7"/>
    </row>
    <row r="858">
      <c r="E858" s="62"/>
      <c r="F858" s="7"/>
      <c r="G858" s="7"/>
      <c r="I858" s="7"/>
      <c r="K858" s="62"/>
      <c r="L858" s="7"/>
      <c r="M858" s="7"/>
      <c r="O858" s="7"/>
      <c r="Q858" s="7"/>
      <c r="S858" s="7"/>
      <c r="U858" s="7"/>
      <c r="W858" s="7"/>
    </row>
    <row r="859">
      <c r="E859" s="62"/>
      <c r="F859" s="7"/>
      <c r="G859" s="7"/>
      <c r="I859" s="7"/>
      <c r="K859" s="62"/>
      <c r="L859" s="7"/>
      <c r="M859" s="7"/>
      <c r="O859" s="7"/>
      <c r="Q859" s="7"/>
      <c r="S859" s="7"/>
      <c r="U859" s="7"/>
      <c r="W859" s="7"/>
    </row>
    <row r="860">
      <c r="E860" s="62"/>
      <c r="F860" s="7"/>
      <c r="G860" s="7"/>
      <c r="I860" s="7"/>
      <c r="K860" s="62"/>
      <c r="L860" s="7"/>
      <c r="M860" s="7"/>
      <c r="O860" s="7"/>
      <c r="Q860" s="7"/>
      <c r="S860" s="7"/>
      <c r="U860" s="7"/>
      <c r="W860" s="7"/>
    </row>
    <row r="861">
      <c r="E861" s="62"/>
      <c r="F861" s="7"/>
      <c r="G861" s="7"/>
      <c r="I861" s="7"/>
      <c r="K861" s="62"/>
      <c r="L861" s="7"/>
      <c r="M861" s="7"/>
      <c r="O861" s="7"/>
      <c r="Q861" s="7"/>
      <c r="S861" s="7"/>
      <c r="U861" s="7"/>
      <c r="W861" s="7"/>
    </row>
    <row r="862">
      <c r="E862" s="62"/>
      <c r="F862" s="7"/>
      <c r="G862" s="7"/>
      <c r="I862" s="7"/>
      <c r="K862" s="62"/>
      <c r="L862" s="7"/>
      <c r="M862" s="7"/>
      <c r="O862" s="7"/>
      <c r="Q862" s="7"/>
      <c r="S862" s="7"/>
      <c r="U862" s="7"/>
      <c r="W862" s="7"/>
    </row>
    <row r="863">
      <c r="E863" s="62"/>
      <c r="F863" s="7"/>
      <c r="G863" s="7"/>
      <c r="I863" s="7"/>
      <c r="K863" s="62"/>
      <c r="L863" s="7"/>
      <c r="M863" s="7"/>
      <c r="O863" s="7"/>
      <c r="Q863" s="7"/>
      <c r="S863" s="7"/>
      <c r="U863" s="7"/>
      <c r="W863" s="7"/>
    </row>
    <row r="864">
      <c r="E864" s="62"/>
      <c r="F864" s="7"/>
      <c r="G864" s="7"/>
      <c r="I864" s="7"/>
      <c r="K864" s="62"/>
      <c r="L864" s="7"/>
      <c r="M864" s="7"/>
      <c r="O864" s="7"/>
      <c r="Q864" s="7"/>
      <c r="S864" s="7"/>
      <c r="U864" s="7"/>
      <c r="W864" s="7"/>
    </row>
    <row r="865">
      <c r="E865" s="62"/>
      <c r="F865" s="7"/>
      <c r="G865" s="7"/>
      <c r="I865" s="7"/>
      <c r="K865" s="62"/>
      <c r="L865" s="7"/>
      <c r="M865" s="7"/>
      <c r="O865" s="7"/>
      <c r="Q865" s="7"/>
      <c r="S865" s="7"/>
      <c r="U865" s="7"/>
      <c r="W865" s="7"/>
    </row>
    <row r="866">
      <c r="E866" s="62"/>
      <c r="F866" s="7"/>
      <c r="G866" s="7"/>
      <c r="I866" s="7"/>
      <c r="K866" s="62"/>
      <c r="L866" s="7"/>
      <c r="M866" s="7"/>
      <c r="O866" s="7"/>
      <c r="Q866" s="7"/>
      <c r="S866" s="7"/>
      <c r="U866" s="7"/>
      <c r="W866" s="7"/>
    </row>
    <row r="867">
      <c r="E867" s="62"/>
      <c r="F867" s="7"/>
      <c r="G867" s="7"/>
      <c r="I867" s="7"/>
      <c r="K867" s="62"/>
      <c r="L867" s="7"/>
      <c r="M867" s="7"/>
      <c r="O867" s="7"/>
      <c r="Q867" s="7"/>
      <c r="S867" s="7"/>
      <c r="U867" s="7"/>
      <c r="W867" s="7"/>
    </row>
    <row r="868">
      <c r="E868" s="62"/>
      <c r="F868" s="7"/>
      <c r="G868" s="7"/>
      <c r="I868" s="7"/>
      <c r="K868" s="62"/>
      <c r="L868" s="7"/>
      <c r="M868" s="7"/>
      <c r="O868" s="7"/>
      <c r="Q868" s="7"/>
      <c r="S868" s="7"/>
      <c r="U868" s="7"/>
      <c r="W868" s="7"/>
    </row>
    <row r="869">
      <c r="E869" s="62"/>
      <c r="F869" s="7"/>
      <c r="G869" s="7"/>
      <c r="I869" s="7"/>
      <c r="K869" s="62"/>
      <c r="L869" s="7"/>
      <c r="M869" s="7"/>
      <c r="O869" s="7"/>
      <c r="Q869" s="7"/>
      <c r="S869" s="7"/>
      <c r="U869" s="7"/>
      <c r="W869" s="7"/>
    </row>
    <row r="870">
      <c r="E870" s="62"/>
      <c r="F870" s="7"/>
      <c r="G870" s="7"/>
      <c r="I870" s="7"/>
      <c r="K870" s="62"/>
      <c r="L870" s="7"/>
      <c r="M870" s="7"/>
      <c r="O870" s="7"/>
      <c r="Q870" s="7"/>
      <c r="S870" s="7"/>
      <c r="U870" s="7"/>
      <c r="W870" s="7"/>
    </row>
    <row r="871">
      <c r="E871" s="62"/>
      <c r="F871" s="7"/>
      <c r="G871" s="7"/>
      <c r="I871" s="7"/>
      <c r="K871" s="62"/>
      <c r="L871" s="7"/>
      <c r="M871" s="7"/>
      <c r="O871" s="7"/>
      <c r="Q871" s="7"/>
      <c r="S871" s="7"/>
      <c r="U871" s="7"/>
      <c r="W871" s="7"/>
    </row>
    <row r="872">
      <c r="E872" s="62"/>
      <c r="F872" s="7"/>
      <c r="G872" s="7"/>
      <c r="I872" s="7"/>
      <c r="K872" s="62"/>
      <c r="L872" s="7"/>
      <c r="M872" s="7"/>
      <c r="O872" s="7"/>
      <c r="Q872" s="7"/>
      <c r="S872" s="7"/>
      <c r="U872" s="7"/>
      <c r="W872" s="7"/>
    </row>
    <row r="873">
      <c r="E873" s="62"/>
      <c r="F873" s="7"/>
      <c r="G873" s="7"/>
      <c r="I873" s="7"/>
      <c r="K873" s="62"/>
      <c r="L873" s="7"/>
      <c r="M873" s="7"/>
      <c r="O873" s="7"/>
      <c r="Q873" s="7"/>
      <c r="S873" s="7"/>
      <c r="U873" s="7"/>
      <c r="W873" s="7"/>
    </row>
    <row r="874">
      <c r="E874" s="62"/>
      <c r="F874" s="7"/>
      <c r="G874" s="7"/>
      <c r="I874" s="7"/>
      <c r="K874" s="62"/>
      <c r="L874" s="7"/>
      <c r="M874" s="7"/>
      <c r="O874" s="7"/>
      <c r="Q874" s="7"/>
      <c r="S874" s="7"/>
      <c r="U874" s="7"/>
      <c r="W874" s="7"/>
    </row>
    <row r="875">
      <c r="E875" s="62"/>
      <c r="F875" s="7"/>
      <c r="G875" s="7"/>
      <c r="I875" s="7"/>
      <c r="K875" s="62"/>
      <c r="L875" s="7"/>
      <c r="M875" s="7"/>
      <c r="O875" s="7"/>
      <c r="Q875" s="7"/>
      <c r="S875" s="7"/>
      <c r="U875" s="7"/>
      <c r="W875" s="7"/>
    </row>
    <row r="876">
      <c r="E876" s="62"/>
      <c r="F876" s="7"/>
      <c r="G876" s="7"/>
      <c r="I876" s="7"/>
      <c r="K876" s="62"/>
      <c r="L876" s="7"/>
      <c r="M876" s="7"/>
      <c r="O876" s="7"/>
      <c r="Q876" s="7"/>
      <c r="S876" s="7"/>
      <c r="U876" s="7"/>
      <c r="W876" s="7"/>
    </row>
    <row r="877">
      <c r="E877" s="62"/>
      <c r="F877" s="7"/>
      <c r="G877" s="7"/>
      <c r="I877" s="7"/>
      <c r="K877" s="62"/>
      <c r="L877" s="7"/>
      <c r="M877" s="7"/>
      <c r="O877" s="7"/>
      <c r="Q877" s="7"/>
      <c r="S877" s="7"/>
      <c r="U877" s="7"/>
      <c r="W877" s="7"/>
    </row>
    <row r="878">
      <c r="E878" s="62"/>
      <c r="F878" s="7"/>
      <c r="G878" s="7"/>
      <c r="I878" s="7"/>
      <c r="K878" s="62"/>
      <c r="L878" s="7"/>
      <c r="M878" s="7"/>
      <c r="O878" s="7"/>
      <c r="Q878" s="7"/>
      <c r="S878" s="7"/>
      <c r="U878" s="7"/>
      <c r="W878" s="7"/>
    </row>
    <row r="879">
      <c r="E879" s="62"/>
      <c r="F879" s="7"/>
      <c r="G879" s="7"/>
      <c r="I879" s="7"/>
      <c r="K879" s="62"/>
      <c r="L879" s="7"/>
      <c r="M879" s="7"/>
      <c r="O879" s="7"/>
      <c r="Q879" s="7"/>
      <c r="S879" s="7"/>
      <c r="U879" s="7"/>
      <c r="W879" s="7"/>
    </row>
    <row r="880">
      <c r="E880" s="62"/>
      <c r="F880" s="7"/>
      <c r="G880" s="7"/>
      <c r="I880" s="7"/>
      <c r="K880" s="62"/>
      <c r="L880" s="7"/>
      <c r="M880" s="7"/>
      <c r="O880" s="7"/>
      <c r="Q880" s="7"/>
      <c r="S880" s="7"/>
      <c r="U880" s="7"/>
      <c r="W880" s="7"/>
    </row>
    <row r="881">
      <c r="E881" s="62"/>
      <c r="F881" s="7"/>
      <c r="G881" s="7"/>
      <c r="I881" s="7"/>
      <c r="K881" s="62"/>
      <c r="L881" s="7"/>
      <c r="M881" s="7"/>
      <c r="O881" s="7"/>
      <c r="Q881" s="7"/>
      <c r="S881" s="7"/>
      <c r="U881" s="7"/>
      <c r="W881" s="7"/>
    </row>
    <row r="882">
      <c r="E882" s="62"/>
      <c r="F882" s="7"/>
      <c r="G882" s="7"/>
      <c r="I882" s="7"/>
      <c r="K882" s="62"/>
      <c r="L882" s="7"/>
      <c r="M882" s="7"/>
      <c r="O882" s="7"/>
      <c r="Q882" s="7"/>
      <c r="S882" s="7"/>
      <c r="U882" s="7"/>
      <c r="W882" s="7"/>
    </row>
    <row r="883">
      <c r="E883" s="62"/>
      <c r="F883" s="7"/>
      <c r="G883" s="7"/>
      <c r="I883" s="7"/>
      <c r="K883" s="62"/>
      <c r="L883" s="7"/>
      <c r="M883" s="7"/>
      <c r="O883" s="7"/>
      <c r="Q883" s="7"/>
      <c r="S883" s="7"/>
      <c r="U883" s="7"/>
      <c r="W883" s="7"/>
    </row>
    <row r="884">
      <c r="E884" s="62"/>
      <c r="F884" s="7"/>
      <c r="G884" s="7"/>
      <c r="I884" s="7"/>
      <c r="K884" s="62"/>
      <c r="L884" s="7"/>
      <c r="M884" s="7"/>
      <c r="O884" s="7"/>
      <c r="Q884" s="7"/>
      <c r="S884" s="7"/>
      <c r="U884" s="7"/>
      <c r="W884" s="7"/>
    </row>
    <row r="885">
      <c r="E885" s="62"/>
      <c r="F885" s="7"/>
      <c r="G885" s="7"/>
      <c r="I885" s="7"/>
      <c r="K885" s="62"/>
      <c r="L885" s="7"/>
      <c r="M885" s="7"/>
      <c r="O885" s="7"/>
      <c r="Q885" s="7"/>
      <c r="S885" s="7"/>
      <c r="U885" s="7"/>
      <c r="W885" s="7"/>
    </row>
    <row r="886">
      <c r="E886" s="62"/>
      <c r="F886" s="7"/>
      <c r="G886" s="7"/>
      <c r="I886" s="7"/>
      <c r="K886" s="62"/>
      <c r="L886" s="7"/>
      <c r="M886" s="7"/>
      <c r="O886" s="7"/>
      <c r="Q886" s="7"/>
      <c r="S886" s="7"/>
      <c r="U886" s="7"/>
      <c r="W886" s="7"/>
    </row>
    <row r="887">
      <c r="E887" s="62"/>
      <c r="F887" s="7"/>
      <c r="G887" s="7"/>
      <c r="I887" s="7"/>
      <c r="K887" s="62"/>
      <c r="L887" s="7"/>
      <c r="M887" s="7"/>
      <c r="O887" s="7"/>
      <c r="Q887" s="7"/>
      <c r="S887" s="7"/>
      <c r="U887" s="7"/>
      <c r="W887" s="7"/>
    </row>
    <row r="888">
      <c r="E888" s="62"/>
      <c r="F888" s="7"/>
      <c r="G888" s="7"/>
      <c r="I888" s="7"/>
      <c r="K888" s="62"/>
      <c r="L888" s="7"/>
      <c r="M888" s="7"/>
      <c r="O888" s="7"/>
      <c r="Q888" s="7"/>
      <c r="S888" s="7"/>
      <c r="U888" s="7"/>
      <c r="W888" s="7"/>
    </row>
    <row r="889">
      <c r="E889" s="62"/>
      <c r="F889" s="7"/>
      <c r="G889" s="7"/>
      <c r="I889" s="7"/>
      <c r="K889" s="62"/>
      <c r="L889" s="7"/>
      <c r="M889" s="7"/>
      <c r="O889" s="7"/>
      <c r="Q889" s="7"/>
      <c r="S889" s="7"/>
      <c r="U889" s="7"/>
      <c r="W889" s="7"/>
    </row>
    <row r="890">
      <c r="E890" s="62"/>
      <c r="F890" s="7"/>
      <c r="G890" s="7"/>
      <c r="I890" s="7"/>
      <c r="K890" s="62"/>
      <c r="L890" s="7"/>
      <c r="M890" s="7"/>
      <c r="O890" s="7"/>
      <c r="Q890" s="7"/>
      <c r="S890" s="7"/>
      <c r="U890" s="7"/>
      <c r="W890" s="7"/>
    </row>
    <row r="891">
      <c r="E891" s="62"/>
      <c r="F891" s="7"/>
      <c r="G891" s="7"/>
      <c r="I891" s="7"/>
      <c r="K891" s="62"/>
      <c r="L891" s="7"/>
      <c r="M891" s="7"/>
      <c r="O891" s="7"/>
      <c r="Q891" s="7"/>
      <c r="S891" s="7"/>
      <c r="U891" s="7"/>
      <c r="W891" s="7"/>
    </row>
    <row r="892">
      <c r="E892" s="62"/>
      <c r="F892" s="7"/>
      <c r="G892" s="7"/>
      <c r="I892" s="7"/>
      <c r="K892" s="62"/>
      <c r="L892" s="7"/>
      <c r="M892" s="7"/>
      <c r="O892" s="7"/>
      <c r="Q892" s="7"/>
      <c r="S892" s="7"/>
      <c r="U892" s="7"/>
      <c r="W892" s="7"/>
    </row>
    <row r="893">
      <c r="E893" s="62"/>
      <c r="F893" s="7"/>
      <c r="G893" s="7"/>
      <c r="I893" s="7"/>
      <c r="K893" s="62"/>
      <c r="L893" s="7"/>
      <c r="M893" s="7"/>
      <c r="O893" s="7"/>
      <c r="Q893" s="7"/>
      <c r="S893" s="7"/>
      <c r="U893" s="7"/>
      <c r="W893" s="7"/>
    </row>
    <row r="894">
      <c r="E894" s="62"/>
      <c r="F894" s="7"/>
      <c r="G894" s="7"/>
      <c r="I894" s="7"/>
      <c r="K894" s="62"/>
      <c r="L894" s="7"/>
      <c r="M894" s="7"/>
      <c r="O894" s="7"/>
      <c r="Q894" s="7"/>
      <c r="S894" s="7"/>
      <c r="U894" s="7"/>
      <c r="W894" s="7"/>
    </row>
    <row r="895">
      <c r="E895" s="62"/>
      <c r="F895" s="7"/>
      <c r="G895" s="7"/>
      <c r="I895" s="7"/>
      <c r="K895" s="62"/>
      <c r="L895" s="7"/>
      <c r="M895" s="7"/>
      <c r="O895" s="7"/>
      <c r="Q895" s="7"/>
      <c r="S895" s="7"/>
      <c r="U895" s="7"/>
      <c r="W895" s="7"/>
    </row>
    <row r="896">
      <c r="E896" s="62"/>
      <c r="F896" s="7"/>
      <c r="G896" s="7"/>
      <c r="I896" s="7"/>
      <c r="K896" s="62"/>
      <c r="L896" s="7"/>
      <c r="M896" s="7"/>
      <c r="O896" s="7"/>
      <c r="Q896" s="7"/>
      <c r="S896" s="7"/>
      <c r="U896" s="7"/>
      <c r="W896" s="7"/>
    </row>
    <row r="897">
      <c r="E897" s="62"/>
      <c r="F897" s="7"/>
      <c r="G897" s="7"/>
      <c r="I897" s="7"/>
      <c r="K897" s="62"/>
      <c r="L897" s="7"/>
      <c r="M897" s="7"/>
      <c r="O897" s="7"/>
      <c r="Q897" s="7"/>
      <c r="S897" s="7"/>
      <c r="U897" s="7"/>
      <c r="W897" s="7"/>
    </row>
    <row r="898">
      <c r="E898" s="62"/>
      <c r="F898" s="7"/>
      <c r="G898" s="7"/>
      <c r="I898" s="7"/>
      <c r="K898" s="62"/>
      <c r="L898" s="7"/>
      <c r="M898" s="7"/>
      <c r="O898" s="7"/>
      <c r="Q898" s="7"/>
      <c r="S898" s="7"/>
      <c r="U898" s="7"/>
      <c r="W898" s="7"/>
    </row>
    <row r="899">
      <c r="E899" s="62"/>
      <c r="F899" s="7"/>
      <c r="G899" s="7"/>
      <c r="I899" s="7"/>
      <c r="K899" s="62"/>
      <c r="L899" s="7"/>
      <c r="M899" s="7"/>
      <c r="O899" s="7"/>
      <c r="Q899" s="7"/>
      <c r="S899" s="7"/>
      <c r="U899" s="7"/>
      <c r="W899" s="7"/>
    </row>
    <row r="900">
      <c r="E900" s="62"/>
      <c r="F900" s="7"/>
      <c r="G900" s="7"/>
      <c r="I900" s="7"/>
      <c r="K900" s="62"/>
      <c r="L900" s="7"/>
      <c r="M900" s="7"/>
      <c r="O900" s="7"/>
      <c r="Q900" s="7"/>
      <c r="S900" s="7"/>
      <c r="U900" s="7"/>
      <c r="W900" s="7"/>
    </row>
    <row r="901">
      <c r="E901" s="62"/>
      <c r="F901" s="7"/>
      <c r="G901" s="7"/>
      <c r="I901" s="7"/>
      <c r="K901" s="62"/>
      <c r="L901" s="7"/>
      <c r="M901" s="7"/>
      <c r="O901" s="7"/>
      <c r="Q901" s="7"/>
      <c r="S901" s="7"/>
      <c r="U901" s="7"/>
      <c r="W901" s="7"/>
    </row>
    <row r="902">
      <c r="E902" s="62"/>
      <c r="F902" s="7"/>
      <c r="G902" s="7"/>
      <c r="I902" s="7"/>
      <c r="K902" s="62"/>
      <c r="L902" s="7"/>
      <c r="M902" s="7"/>
      <c r="O902" s="7"/>
      <c r="Q902" s="7"/>
      <c r="S902" s="7"/>
      <c r="U902" s="7"/>
      <c r="W902" s="7"/>
    </row>
    <row r="903">
      <c r="E903" s="62"/>
      <c r="F903" s="7"/>
      <c r="G903" s="7"/>
      <c r="I903" s="7"/>
      <c r="K903" s="62"/>
      <c r="L903" s="7"/>
      <c r="M903" s="7"/>
      <c r="O903" s="7"/>
      <c r="Q903" s="7"/>
      <c r="S903" s="7"/>
      <c r="U903" s="7"/>
      <c r="W903" s="7"/>
    </row>
    <row r="904">
      <c r="E904" s="62"/>
      <c r="F904" s="7"/>
      <c r="G904" s="7"/>
      <c r="I904" s="7"/>
      <c r="K904" s="62"/>
      <c r="L904" s="7"/>
      <c r="M904" s="7"/>
      <c r="O904" s="7"/>
      <c r="Q904" s="7"/>
      <c r="S904" s="7"/>
      <c r="U904" s="7"/>
      <c r="W904" s="7"/>
    </row>
    <row r="905">
      <c r="E905" s="62"/>
      <c r="F905" s="7"/>
      <c r="G905" s="7"/>
      <c r="I905" s="7"/>
      <c r="K905" s="62"/>
      <c r="L905" s="7"/>
      <c r="M905" s="7"/>
      <c r="O905" s="7"/>
      <c r="Q905" s="7"/>
      <c r="S905" s="7"/>
      <c r="U905" s="7"/>
      <c r="W905" s="7"/>
    </row>
    <row r="906">
      <c r="E906" s="62"/>
      <c r="F906" s="7"/>
      <c r="G906" s="7"/>
      <c r="I906" s="7"/>
      <c r="K906" s="62"/>
      <c r="L906" s="7"/>
      <c r="M906" s="7"/>
      <c r="O906" s="7"/>
      <c r="Q906" s="7"/>
      <c r="S906" s="7"/>
      <c r="U906" s="7"/>
      <c r="W906" s="7"/>
    </row>
    <row r="907">
      <c r="E907" s="62"/>
      <c r="F907" s="7"/>
      <c r="G907" s="7"/>
      <c r="I907" s="7"/>
      <c r="K907" s="62"/>
      <c r="L907" s="7"/>
      <c r="M907" s="7"/>
      <c r="O907" s="7"/>
      <c r="Q907" s="7"/>
      <c r="S907" s="7"/>
      <c r="U907" s="7"/>
      <c r="W907" s="7"/>
    </row>
    <row r="908">
      <c r="E908" s="62"/>
      <c r="F908" s="7"/>
      <c r="G908" s="7"/>
      <c r="I908" s="7"/>
      <c r="K908" s="62"/>
      <c r="L908" s="7"/>
      <c r="M908" s="7"/>
      <c r="O908" s="7"/>
      <c r="Q908" s="7"/>
      <c r="S908" s="7"/>
      <c r="U908" s="7"/>
      <c r="W908" s="7"/>
    </row>
    <row r="909">
      <c r="E909" s="62"/>
      <c r="F909" s="7"/>
      <c r="G909" s="7"/>
      <c r="I909" s="7"/>
      <c r="K909" s="62"/>
      <c r="L909" s="7"/>
      <c r="M909" s="7"/>
      <c r="O909" s="7"/>
      <c r="Q909" s="7"/>
      <c r="S909" s="7"/>
      <c r="U909" s="7"/>
      <c r="W909" s="7"/>
    </row>
    <row r="910">
      <c r="E910" s="62"/>
      <c r="F910" s="7"/>
      <c r="G910" s="7"/>
      <c r="I910" s="7"/>
      <c r="K910" s="62"/>
      <c r="L910" s="7"/>
      <c r="M910" s="7"/>
      <c r="O910" s="7"/>
      <c r="Q910" s="7"/>
      <c r="S910" s="7"/>
      <c r="U910" s="7"/>
      <c r="W910" s="7"/>
    </row>
    <row r="911">
      <c r="E911" s="62"/>
      <c r="F911" s="7"/>
      <c r="G911" s="7"/>
      <c r="I911" s="7"/>
      <c r="K911" s="62"/>
      <c r="L911" s="7"/>
      <c r="M911" s="7"/>
      <c r="O911" s="7"/>
      <c r="Q911" s="7"/>
      <c r="S911" s="7"/>
      <c r="U911" s="7"/>
      <c r="W911" s="7"/>
    </row>
    <row r="912">
      <c r="E912" s="62"/>
      <c r="F912" s="7"/>
      <c r="G912" s="7"/>
      <c r="I912" s="7"/>
      <c r="K912" s="62"/>
      <c r="L912" s="7"/>
      <c r="M912" s="7"/>
      <c r="O912" s="7"/>
      <c r="Q912" s="7"/>
      <c r="S912" s="7"/>
      <c r="U912" s="7"/>
      <c r="W912" s="7"/>
    </row>
    <row r="913">
      <c r="E913" s="62"/>
      <c r="F913" s="7"/>
      <c r="G913" s="7"/>
      <c r="I913" s="7"/>
      <c r="K913" s="62"/>
      <c r="L913" s="7"/>
      <c r="M913" s="7"/>
      <c r="O913" s="7"/>
      <c r="Q913" s="7"/>
      <c r="S913" s="7"/>
      <c r="U913" s="7"/>
      <c r="W913" s="7"/>
    </row>
    <row r="914">
      <c r="E914" s="62"/>
      <c r="F914" s="7"/>
      <c r="G914" s="7"/>
      <c r="I914" s="7"/>
      <c r="K914" s="62"/>
      <c r="L914" s="7"/>
      <c r="M914" s="7"/>
      <c r="O914" s="7"/>
      <c r="Q914" s="7"/>
      <c r="S914" s="7"/>
      <c r="U914" s="7"/>
      <c r="W914" s="7"/>
    </row>
    <row r="915">
      <c r="E915" s="62"/>
      <c r="F915" s="7"/>
      <c r="G915" s="7"/>
      <c r="I915" s="7"/>
      <c r="K915" s="62"/>
      <c r="L915" s="7"/>
      <c r="M915" s="7"/>
      <c r="O915" s="7"/>
      <c r="Q915" s="7"/>
      <c r="S915" s="7"/>
      <c r="U915" s="7"/>
      <c r="W915" s="7"/>
    </row>
    <row r="916">
      <c r="E916" s="62"/>
      <c r="F916" s="7"/>
      <c r="G916" s="7"/>
      <c r="I916" s="7"/>
      <c r="K916" s="62"/>
      <c r="L916" s="7"/>
      <c r="M916" s="7"/>
      <c r="O916" s="7"/>
      <c r="Q916" s="7"/>
      <c r="S916" s="7"/>
      <c r="U916" s="7"/>
      <c r="W916" s="7"/>
    </row>
    <row r="917">
      <c r="E917" s="62"/>
      <c r="F917" s="7"/>
      <c r="G917" s="7"/>
      <c r="I917" s="7"/>
      <c r="K917" s="62"/>
      <c r="L917" s="7"/>
      <c r="M917" s="7"/>
      <c r="O917" s="7"/>
      <c r="Q917" s="7"/>
      <c r="S917" s="7"/>
      <c r="U917" s="7"/>
      <c r="W917" s="7"/>
    </row>
    <row r="918">
      <c r="E918" s="62"/>
      <c r="F918" s="7"/>
      <c r="G918" s="7"/>
      <c r="I918" s="7"/>
      <c r="K918" s="62"/>
      <c r="L918" s="7"/>
      <c r="M918" s="7"/>
      <c r="O918" s="7"/>
      <c r="Q918" s="7"/>
      <c r="S918" s="7"/>
      <c r="U918" s="7"/>
      <c r="W918" s="7"/>
    </row>
    <row r="919">
      <c r="E919" s="62"/>
      <c r="F919" s="7"/>
      <c r="G919" s="7"/>
      <c r="I919" s="7"/>
      <c r="K919" s="62"/>
      <c r="L919" s="7"/>
      <c r="M919" s="7"/>
      <c r="O919" s="7"/>
      <c r="Q919" s="7"/>
      <c r="S919" s="7"/>
      <c r="U919" s="7"/>
      <c r="W919" s="7"/>
    </row>
    <row r="920">
      <c r="E920" s="62"/>
      <c r="F920" s="7"/>
      <c r="G920" s="7"/>
      <c r="I920" s="7"/>
      <c r="K920" s="62"/>
      <c r="L920" s="7"/>
      <c r="M920" s="7"/>
      <c r="O920" s="7"/>
      <c r="Q920" s="7"/>
      <c r="S920" s="7"/>
      <c r="U920" s="7"/>
      <c r="W920" s="7"/>
    </row>
    <row r="921">
      <c r="E921" s="62"/>
      <c r="F921" s="7"/>
      <c r="G921" s="7"/>
      <c r="I921" s="7"/>
      <c r="K921" s="62"/>
      <c r="L921" s="7"/>
      <c r="M921" s="7"/>
      <c r="O921" s="7"/>
      <c r="Q921" s="7"/>
      <c r="S921" s="7"/>
      <c r="U921" s="7"/>
      <c r="W921" s="7"/>
    </row>
    <row r="922">
      <c r="E922" s="62"/>
      <c r="F922" s="7"/>
      <c r="G922" s="7"/>
      <c r="I922" s="7"/>
      <c r="K922" s="62"/>
      <c r="L922" s="7"/>
      <c r="M922" s="7"/>
      <c r="O922" s="7"/>
      <c r="Q922" s="7"/>
      <c r="S922" s="7"/>
      <c r="U922" s="7"/>
      <c r="W922" s="7"/>
    </row>
    <row r="923">
      <c r="E923" s="62"/>
      <c r="F923" s="7"/>
      <c r="G923" s="7"/>
      <c r="I923" s="7"/>
      <c r="K923" s="62"/>
      <c r="L923" s="7"/>
      <c r="M923" s="7"/>
      <c r="O923" s="7"/>
      <c r="Q923" s="7"/>
      <c r="S923" s="7"/>
      <c r="U923" s="7"/>
      <c r="W923" s="7"/>
    </row>
    <row r="924">
      <c r="E924" s="62"/>
      <c r="F924" s="7"/>
      <c r="G924" s="7"/>
      <c r="I924" s="7"/>
      <c r="K924" s="62"/>
      <c r="L924" s="7"/>
      <c r="M924" s="7"/>
      <c r="O924" s="7"/>
      <c r="Q924" s="7"/>
      <c r="S924" s="7"/>
      <c r="U924" s="7"/>
      <c r="W924" s="7"/>
    </row>
    <row r="925">
      <c r="E925" s="62"/>
      <c r="F925" s="7"/>
      <c r="G925" s="7"/>
      <c r="I925" s="7"/>
      <c r="K925" s="62"/>
      <c r="L925" s="7"/>
      <c r="M925" s="7"/>
      <c r="O925" s="7"/>
      <c r="Q925" s="7"/>
      <c r="S925" s="7"/>
      <c r="U925" s="7"/>
      <c r="W925" s="7"/>
    </row>
    <row r="926">
      <c r="E926" s="62"/>
      <c r="F926" s="7"/>
      <c r="G926" s="7"/>
      <c r="I926" s="7"/>
      <c r="K926" s="62"/>
      <c r="L926" s="7"/>
      <c r="M926" s="7"/>
      <c r="O926" s="7"/>
      <c r="Q926" s="7"/>
      <c r="S926" s="7"/>
      <c r="U926" s="7"/>
      <c r="W926" s="7"/>
    </row>
    <row r="927">
      <c r="E927" s="62"/>
      <c r="F927" s="7"/>
      <c r="G927" s="7"/>
      <c r="I927" s="7"/>
      <c r="K927" s="62"/>
      <c r="L927" s="7"/>
      <c r="M927" s="7"/>
      <c r="O927" s="7"/>
      <c r="Q927" s="7"/>
      <c r="S927" s="7"/>
      <c r="U927" s="7"/>
      <c r="W927" s="7"/>
    </row>
    <row r="928">
      <c r="E928" s="62"/>
      <c r="F928" s="7"/>
      <c r="G928" s="7"/>
      <c r="I928" s="7"/>
      <c r="K928" s="62"/>
      <c r="L928" s="7"/>
      <c r="M928" s="7"/>
      <c r="O928" s="7"/>
      <c r="Q928" s="7"/>
      <c r="S928" s="7"/>
      <c r="U928" s="7"/>
      <c r="W928" s="7"/>
    </row>
    <row r="929">
      <c r="E929" s="62"/>
      <c r="F929" s="7"/>
      <c r="G929" s="7"/>
      <c r="I929" s="7"/>
      <c r="K929" s="62"/>
      <c r="L929" s="7"/>
      <c r="M929" s="7"/>
      <c r="O929" s="7"/>
      <c r="Q929" s="7"/>
      <c r="S929" s="7"/>
      <c r="U929" s="7"/>
      <c r="W929" s="7"/>
    </row>
    <row r="930">
      <c r="E930" s="62"/>
      <c r="F930" s="7"/>
      <c r="G930" s="7"/>
      <c r="I930" s="7"/>
      <c r="K930" s="62"/>
      <c r="L930" s="7"/>
      <c r="M930" s="7"/>
      <c r="O930" s="7"/>
      <c r="Q930" s="7"/>
      <c r="S930" s="7"/>
      <c r="U930" s="7"/>
      <c r="W930" s="7"/>
    </row>
    <row r="931">
      <c r="E931" s="62"/>
      <c r="F931" s="7"/>
      <c r="G931" s="7"/>
      <c r="I931" s="7"/>
      <c r="K931" s="62"/>
      <c r="L931" s="7"/>
      <c r="M931" s="7"/>
      <c r="O931" s="7"/>
      <c r="Q931" s="7"/>
      <c r="S931" s="7"/>
      <c r="U931" s="7"/>
      <c r="W931" s="7"/>
    </row>
    <row r="932">
      <c r="E932" s="62"/>
      <c r="F932" s="7"/>
      <c r="G932" s="7"/>
      <c r="I932" s="7"/>
      <c r="K932" s="62"/>
      <c r="L932" s="7"/>
      <c r="M932" s="7"/>
      <c r="O932" s="7"/>
      <c r="Q932" s="7"/>
      <c r="S932" s="7"/>
      <c r="U932" s="7"/>
      <c r="W932" s="7"/>
    </row>
    <row r="933">
      <c r="E933" s="62"/>
      <c r="F933" s="7"/>
      <c r="G933" s="7"/>
      <c r="I933" s="7"/>
      <c r="K933" s="62"/>
      <c r="L933" s="7"/>
      <c r="M933" s="7"/>
      <c r="O933" s="7"/>
      <c r="Q933" s="7"/>
      <c r="S933" s="7"/>
      <c r="U933" s="7"/>
      <c r="W933" s="7"/>
    </row>
    <row r="934">
      <c r="E934" s="62"/>
      <c r="F934" s="7"/>
      <c r="G934" s="7"/>
      <c r="I934" s="7"/>
      <c r="K934" s="62"/>
      <c r="L934" s="7"/>
      <c r="M934" s="7"/>
      <c r="O934" s="7"/>
      <c r="Q934" s="7"/>
      <c r="S934" s="7"/>
      <c r="U934" s="7"/>
      <c r="W934" s="7"/>
    </row>
    <row r="935">
      <c r="E935" s="62"/>
      <c r="F935" s="7"/>
      <c r="G935" s="7"/>
      <c r="I935" s="7"/>
      <c r="K935" s="62"/>
      <c r="L935" s="7"/>
      <c r="M935" s="7"/>
      <c r="O935" s="7"/>
      <c r="Q935" s="7"/>
      <c r="S935" s="7"/>
      <c r="U935" s="7"/>
      <c r="W935" s="7"/>
    </row>
    <row r="936">
      <c r="E936" s="62"/>
      <c r="F936" s="7"/>
      <c r="G936" s="7"/>
      <c r="I936" s="7"/>
      <c r="K936" s="62"/>
      <c r="L936" s="7"/>
      <c r="M936" s="7"/>
      <c r="O936" s="7"/>
      <c r="Q936" s="7"/>
      <c r="S936" s="7"/>
      <c r="U936" s="7"/>
      <c r="W936" s="7"/>
    </row>
    <row r="937">
      <c r="E937" s="62"/>
      <c r="F937" s="7"/>
      <c r="G937" s="7"/>
      <c r="I937" s="7"/>
      <c r="K937" s="62"/>
      <c r="L937" s="7"/>
      <c r="M937" s="7"/>
      <c r="O937" s="7"/>
      <c r="Q937" s="7"/>
      <c r="S937" s="7"/>
      <c r="U937" s="7"/>
      <c r="W937" s="7"/>
    </row>
    <row r="938">
      <c r="E938" s="62"/>
      <c r="F938" s="7"/>
      <c r="G938" s="7"/>
      <c r="I938" s="7"/>
      <c r="K938" s="62"/>
      <c r="L938" s="7"/>
      <c r="M938" s="7"/>
      <c r="O938" s="7"/>
      <c r="Q938" s="7"/>
      <c r="S938" s="7"/>
      <c r="U938" s="7"/>
      <c r="W938" s="7"/>
    </row>
    <row r="939">
      <c r="E939" s="62"/>
      <c r="F939" s="7"/>
      <c r="G939" s="7"/>
      <c r="I939" s="7"/>
      <c r="K939" s="62"/>
      <c r="L939" s="7"/>
      <c r="M939" s="7"/>
      <c r="O939" s="7"/>
      <c r="Q939" s="7"/>
      <c r="S939" s="7"/>
      <c r="U939" s="7"/>
      <c r="W939" s="7"/>
    </row>
    <row r="940">
      <c r="E940" s="62"/>
      <c r="F940" s="7"/>
      <c r="G940" s="7"/>
      <c r="I940" s="7"/>
      <c r="K940" s="62"/>
      <c r="L940" s="7"/>
      <c r="M940" s="7"/>
      <c r="O940" s="7"/>
      <c r="Q940" s="7"/>
      <c r="S940" s="7"/>
      <c r="U940" s="7"/>
      <c r="W940" s="7"/>
    </row>
    <row r="941">
      <c r="E941" s="62"/>
      <c r="F941" s="7"/>
      <c r="G941" s="7"/>
      <c r="I941" s="7"/>
      <c r="K941" s="62"/>
      <c r="L941" s="7"/>
      <c r="M941" s="7"/>
      <c r="O941" s="7"/>
      <c r="Q941" s="7"/>
      <c r="S941" s="7"/>
      <c r="U941" s="7"/>
      <c r="W941" s="7"/>
    </row>
    <row r="942">
      <c r="E942" s="62"/>
      <c r="F942" s="7"/>
      <c r="G942" s="7"/>
      <c r="I942" s="7"/>
      <c r="K942" s="62"/>
      <c r="L942" s="7"/>
      <c r="M942" s="7"/>
      <c r="O942" s="7"/>
      <c r="Q942" s="7"/>
      <c r="S942" s="7"/>
      <c r="U942" s="7"/>
      <c r="W942" s="7"/>
    </row>
    <row r="943">
      <c r="E943" s="62"/>
      <c r="F943" s="7"/>
      <c r="G943" s="7"/>
      <c r="I943" s="7"/>
      <c r="K943" s="62"/>
      <c r="L943" s="7"/>
      <c r="M943" s="7"/>
      <c r="O943" s="7"/>
      <c r="Q943" s="7"/>
      <c r="S943" s="7"/>
      <c r="U943" s="7"/>
      <c r="W943" s="7"/>
    </row>
    <row r="944">
      <c r="E944" s="62"/>
      <c r="F944" s="7"/>
      <c r="G944" s="7"/>
      <c r="I944" s="7"/>
      <c r="K944" s="62"/>
      <c r="L944" s="7"/>
      <c r="M944" s="7"/>
      <c r="O944" s="7"/>
      <c r="Q944" s="7"/>
      <c r="S944" s="7"/>
      <c r="U944" s="7"/>
      <c r="W944" s="7"/>
    </row>
    <row r="945">
      <c r="E945" s="62"/>
      <c r="F945" s="7"/>
      <c r="G945" s="7"/>
      <c r="I945" s="7"/>
      <c r="K945" s="62"/>
      <c r="L945" s="7"/>
      <c r="M945" s="7"/>
      <c r="O945" s="7"/>
      <c r="Q945" s="7"/>
      <c r="S945" s="7"/>
      <c r="U945" s="7"/>
      <c r="W945" s="7"/>
    </row>
    <row r="946">
      <c r="E946" s="62"/>
      <c r="F946" s="7"/>
      <c r="G946" s="7"/>
      <c r="I946" s="7"/>
      <c r="K946" s="62"/>
      <c r="L946" s="7"/>
      <c r="M946" s="7"/>
      <c r="O946" s="7"/>
      <c r="Q946" s="7"/>
      <c r="S946" s="7"/>
      <c r="U946" s="7"/>
      <c r="W946" s="7"/>
    </row>
    <row r="947">
      <c r="E947" s="62"/>
      <c r="F947" s="7"/>
      <c r="G947" s="7"/>
      <c r="I947" s="7"/>
      <c r="K947" s="62"/>
      <c r="L947" s="7"/>
      <c r="M947" s="7"/>
      <c r="O947" s="7"/>
      <c r="Q947" s="7"/>
      <c r="S947" s="7"/>
      <c r="U947" s="7"/>
      <c r="W947" s="7"/>
    </row>
    <row r="948">
      <c r="E948" s="62"/>
      <c r="F948" s="7"/>
      <c r="G948" s="7"/>
      <c r="I948" s="7"/>
      <c r="K948" s="62"/>
      <c r="L948" s="7"/>
      <c r="M948" s="7"/>
      <c r="O948" s="7"/>
      <c r="Q948" s="7"/>
      <c r="S948" s="7"/>
      <c r="U948" s="7"/>
      <c r="W948" s="7"/>
    </row>
    <row r="949">
      <c r="E949" s="62"/>
      <c r="F949" s="7"/>
      <c r="G949" s="7"/>
      <c r="I949" s="7"/>
      <c r="K949" s="62"/>
      <c r="L949" s="7"/>
      <c r="M949" s="7"/>
      <c r="O949" s="7"/>
      <c r="Q949" s="7"/>
      <c r="S949" s="7"/>
      <c r="U949" s="7"/>
      <c r="W949" s="7"/>
    </row>
    <row r="950">
      <c r="E950" s="62"/>
      <c r="F950" s="7"/>
      <c r="G950" s="7"/>
      <c r="I950" s="7"/>
      <c r="K950" s="62"/>
      <c r="L950" s="7"/>
      <c r="M950" s="7"/>
      <c r="O950" s="7"/>
      <c r="Q950" s="7"/>
      <c r="S950" s="7"/>
      <c r="U950" s="7"/>
      <c r="W950" s="7"/>
    </row>
    <row r="951">
      <c r="E951" s="62"/>
      <c r="F951" s="7"/>
      <c r="G951" s="7"/>
      <c r="I951" s="7"/>
      <c r="K951" s="62"/>
      <c r="L951" s="7"/>
      <c r="M951" s="7"/>
      <c r="O951" s="7"/>
      <c r="Q951" s="7"/>
      <c r="S951" s="7"/>
      <c r="U951" s="7"/>
      <c r="W951" s="7"/>
    </row>
    <row r="952">
      <c r="E952" s="62"/>
      <c r="F952" s="7"/>
      <c r="G952" s="7"/>
      <c r="I952" s="7"/>
      <c r="K952" s="62"/>
      <c r="L952" s="7"/>
      <c r="M952" s="7"/>
      <c r="O952" s="7"/>
      <c r="Q952" s="7"/>
      <c r="S952" s="7"/>
      <c r="U952" s="7"/>
      <c r="W952" s="7"/>
    </row>
    <row r="953">
      <c r="E953" s="62"/>
      <c r="F953" s="7"/>
      <c r="G953" s="7"/>
      <c r="I953" s="7"/>
      <c r="K953" s="62"/>
      <c r="L953" s="7"/>
      <c r="M953" s="7"/>
      <c r="O953" s="7"/>
      <c r="Q953" s="7"/>
      <c r="S953" s="7"/>
      <c r="U953" s="7"/>
      <c r="W953" s="7"/>
    </row>
    <row r="954">
      <c r="E954" s="62"/>
      <c r="F954" s="7"/>
      <c r="G954" s="7"/>
      <c r="I954" s="7"/>
      <c r="K954" s="62"/>
      <c r="L954" s="7"/>
      <c r="M954" s="7"/>
      <c r="O954" s="7"/>
      <c r="Q954" s="7"/>
      <c r="S954" s="7"/>
      <c r="U954" s="7"/>
      <c r="W954" s="7"/>
    </row>
    <row r="955">
      <c r="E955" s="62"/>
      <c r="F955" s="7"/>
      <c r="G955" s="7"/>
      <c r="I955" s="7"/>
      <c r="K955" s="62"/>
      <c r="L955" s="7"/>
      <c r="M955" s="7"/>
      <c r="O955" s="7"/>
      <c r="Q955" s="7"/>
      <c r="S955" s="7"/>
      <c r="U955" s="7"/>
      <c r="W955" s="7"/>
    </row>
    <row r="956">
      <c r="E956" s="62"/>
      <c r="F956" s="7"/>
      <c r="G956" s="7"/>
      <c r="I956" s="7"/>
      <c r="K956" s="62"/>
      <c r="L956" s="7"/>
      <c r="M956" s="7"/>
      <c r="O956" s="7"/>
      <c r="Q956" s="7"/>
      <c r="S956" s="7"/>
      <c r="U956" s="7"/>
      <c r="W956" s="7"/>
    </row>
    <row r="957">
      <c r="E957" s="62"/>
      <c r="F957" s="7"/>
      <c r="G957" s="7"/>
      <c r="I957" s="7"/>
      <c r="K957" s="62"/>
      <c r="L957" s="7"/>
      <c r="M957" s="7"/>
      <c r="O957" s="7"/>
      <c r="Q957" s="7"/>
      <c r="S957" s="7"/>
      <c r="U957" s="7"/>
      <c r="W957" s="7"/>
    </row>
    <row r="958">
      <c r="E958" s="62"/>
      <c r="F958" s="7"/>
      <c r="G958" s="7"/>
      <c r="I958" s="7"/>
      <c r="K958" s="62"/>
      <c r="L958" s="7"/>
      <c r="M958" s="7"/>
      <c r="O958" s="7"/>
      <c r="Q958" s="7"/>
      <c r="S958" s="7"/>
      <c r="U958" s="7"/>
      <c r="W958" s="7"/>
    </row>
    <row r="959">
      <c r="E959" s="62"/>
      <c r="F959" s="7"/>
      <c r="G959" s="7"/>
      <c r="I959" s="7"/>
      <c r="K959" s="62"/>
      <c r="L959" s="7"/>
      <c r="M959" s="7"/>
      <c r="O959" s="7"/>
      <c r="Q959" s="7"/>
      <c r="S959" s="7"/>
      <c r="U959" s="7"/>
      <c r="W959" s="7"/>
    </row>
    <row r="960">
      <c r="E960" s="62"/>
      <c r="F960" s="7"/>
      <c r="G960" s="7"/>
      <c r="I960" s="7"/>
      <c r="K960" s="62"/>
      <c r="L960" s="7"/>
      <c r="M960" s="7"/>
      <c r="O960" s="7"/>
      <c r="Q960" s="7"/>
      <c r="S960" s="7"/>
      <c r="U960" s="7"/>
      <c r="W960" s="7"/>
    </row>
    <row r="961">
      <c r="E961" s="62"/>
      <c r="F961" s="7"/>
      <c r="G961" s="7"/>
      <c r="I961" s="7"/>
      <c r="K961" s="62"/>
      <c r="L961" s="7"/>
      <c r="M961" s="7"/>
      <c r="O961" s="7"/>
      <c r="Q961" s="7"/>
      <c r="S961" s="7"/>
      <c r="U961" s="7"/>
      <c r="W961" s="7"/>
    </row>
    <row r="962">
      <c r="E962" s="62"/>
      <c r="F962" s="7"/>
      <c r="G962" s="7"/>
      <c r="I962" s="7"/>
      <c r="K962" s="62"/>
      <c r="L962" s="7"/>
      <c r="M962" s="7"/>
      <c r="O962" s="7"/>
      <c r="Q962" s="7"/>
      <c r="S962" s="7"/>
      <c r="U962" s="7"/>
      <c r="W962" s="7"/>
    </row>
    <row r="963">
      <c r="E963" s="62"/>
      <c r="F963" s="7"/>
      <c r="G963" s="7"/>
      <c r="I963" s="7"/>
      <c r="K963" s="62"/>
      <c r="L963" s="7"/>
      <c r="M963" s="7"/>
      <c r="O963" s="7"/>
      <c r="Q963" s="7"/>
      <c r="S963" s="7"/>
      <c r="U963" s="7"/>
      <c r="W963" s="7"/>
    </row>
    <row r="964">
      <c r="E964" s="62"/>
      <c r="F964" s="7"/>
      <c r="G964" s="7"/>
      <c r="I964" s="7"/>
      <c r="K964" s="62"/>
      <c r="L964" s="7"/>
      <c r="M964" s="7"/>
      <c r="O964" s="7"/>
      <c r="Q964" s="7"/>
      <c r="S964" s="7"/>
      <c r="U964" s="7"/>
      <c r="W964" s="7"/>
    </row>
    <row r="965">
      <c r="E965" s="62"/>
      <c r="F965" s="7"/>
      <c r="G965" s="7"/>
      <c r="I965" s="7"/>
      <c r="K965" s="62"/>
      <c r="L965" s="7"/>
      <c r="M965" s="7"/>
      <c r="O965" s="7"/>
      <c r="Q965" s="7"/>
      <c r="S965" s="7"/>
      <c r="U965" s="7"/>
      <c r="W965" s="7"/>
    </row>
    <row r="966">
      <c r="E966" s="62"/>
      <c r="F966" s="7"/>
      <c r="G966" s="7"/>
      <c r="I966" s="7"/>
      <c r="K966" s="62"/>
      <c r="L966" s="7"/>
      <c r="M966" s="7"/>
      <c r="O966" s="7"/>
      <c r="Q966" s="7"/>
      <c r="S966" s="7"/>
      <c r="U966" s="7"/>
      <c r="W966" s="7"/>
    </row>
    <row r="967">
      <c r="E967" s="62"/>
      <c r="F967" s="7"/>
      <c r="G967" s="7"/>
      <c r="I967" s="7"/>
      <c r="K967" s="62"/>
      <c r="L967" s="7"/>
      <c r="M967" s="7"/>
      <c r="O967" s="7"/>
      <c r="Q967" s="7"/>
      <c r="S967" s="7"/>
      <c r="U967" s="7"/>
      <c r="W967" s="7"/>
    </row>
    <row r="968">
      <c r="E968" s="62"/>
      <c r="F968" s="7"/>
      <c r="G968" s="7"/>
      <c r="I968" s="7"/>
      <c r="K968" s="62"/>
      <c r="L968" s="7"/>
      <c r="M968" s="7"/>
      <c r="O968" s="7"/>
      <c r="Q968" s="7"/>
      <c r="S968" s="7"/>
      <c r="U968" s="7"/>
      <c r="W968" s="7"/>
    </row>
    <row r="969">
      <c r="E969" s="62"/>
      <c r="F969" s="7"/>
      <c r="G969" s="7"/>
      <c r="I969" s="7"/>
      <c r="K969" s="62"/>
      <c r="L969" s="7"/>
      <c r="M969" s="7"/>
      <c r="O969" s="7"/>
      <c r="Q969" s="7"/>
      <c r="S969" s="7"/>
      <c r="U969" s="7"/>
      <c r="W969" s="7"/>
    </row>
    <row r="970">
      <c r="E970" s="62"/>
      <c r="F970" s="7"/>
      <c r="G970" s="7"/>
      <c r="I970" s="7"/>
      <c r="K970" s="62"/>
      <c r="L970" s="7"/>
      <c r="M970" s="7"/>
      <c r="O970" s="7"/>
      <c r="Q970" s="7"/>
      <c r="S970" s="7"/>
      <c r="U970" s="7"/>
      <c r="W970" s="7"/>
    </row>
    <row r="971">
      <c r="E971" s="62"/>
      <c r="F971" s="7"/>
      <c r="G971" s="7"/>
      <c r="I971" s="7"/>
      <c r="K971" s="62"/>
      <c r="L971" s="7"/>
      <c r="M971" s="7"/>
      <c r="O971" s="7"/>
      <c r="Q971" s="7"/>
      <c r="S971" s="7"/>
      <c r="U971" s="7"/>
      <c r="W971" s="7"/>
    </row>
    <row r="972">
      <c r="E972" s="62"/>
      <c r="F972" s="7"/>
      <c r="G972" s="7"/>
      <c r="I972" s="7"/>
      <c r="K972" s="62"/>
      <c r="L972" s="7"/>
      <c r="M972" s="7"/>
      <c r="O972" s="7"/>
      <c r="Q972" s="7"/>
      <c r="S972" s="7"/>
      <c r="U972" s="7"/>
      <c r="W972" s="7"/>
    </row>
    <row r="973">
      <c r="E973" s="62"/>
      <c r="F973" s="7"/>
      <c r="G973" s="7"/>
      <c r="I973" s="7"/>
      <c r="K973" s="62"/>
      <c r="L973" s="7"/>
      <c r="M973" s="7"/>
      <c r="O973" s="7"/>
      <c r="Q973" s="7"/>
      <c r="S973" s="7"/>
      <c r="U973" s="7"/>
      <c r="W973" s="7"/>
    </row>
    <row r="974">
      <c r="E974" s="62"/>
      <c r="F974" s="7"/>
      <c r="G974" s="7"/>
      <c r="I974" s="7"/>
      <c r="K974" s="62"/>
      <c r="L974" s="7"/>
      <c r="M974" s="7"/>
      <c r="O974" s="7"/>
      <c r="Q974" s="7"/>
      <c r="S974" s="7"/>
      <c r="U974" s="7"/>
      <c r="W974" s="7"/>
    </row>
    <row r="975">
      <c r="E975" s="62"/>
      <c r="F975" s="7"/>
      <c r="G975" s="7"/>
      <c r="I975" s="7"/>
      <c r="K975" s="62"/>
      <c r="L975" s="7"/>
      <c r="M975" s="7"/>
      <c r="O975" s="7"/>
      <c r="Q975" s="7"/>
      <c r="S975" s="7"/>
      <c r="U975" s="7"/>
      <c r="W975" s="7"/>
    </row>
    <row r="976">
      <c r="E976" s="62"/>
      <c r="F976" s="7"/>
      <c r="G976" s="7"/>
      <c r="I976" s="7"/>
      <c r="K976" s="62"/>
      <c r="L976" s="7"/>
      <c r="M976" s="7"/>
      <c r="O976" s="7"/>
      <c r="Q976" s="7"/>
      <c r="S976" s="7"/>
      <c r="U976" s="7"/>
      <c r="W976" s="7"/>
    </row>
    <row r="977">
      <c r="E977" s="62"/>
      <c r="F977" s="7"/>
      <c r="G977" s="7"/>
      <c r="I977" s="7"/>
      <c r="K977" s="62"/>
      <c r="L977" s="7"/>
      <c r="M977" s="7"/>
      <c r="O977" s="7"/>
      <c r="Q977" s="7"/>
      <c r="S977" s="7"/>
      <c r="U977" s="7"/>
      <c r="W977" s="7"/>
    </row>
    <row r="978">
      <c r="E978" s="62"/>
      <c r="F978" s="7"/>
      <c r="G978" s="7"/>
      <c r="I978" s="7"/>
      <c r="K978" s="62"/>
      <c r="L978" s="7"/>
      <c r="M978" s="7"/>
      <c r="O978" s="7"/>
      <c r="Q978" s="7"/>
      <c r="S978" s="7"/>
      <c r="U978" s="7"/>
      <c r="W978" s="7"/>
    </row>
    <row r="979">
      <c r="E979" s="62"/>
      <c r="F979" s="7"/>
      <c r="G979" s="7"/>
      <c r="I979" s="7"/>
      <c r="K979" s="62"/>
      <c r="L979" s="7"/>
      <c r="M979" s="7"/>
      <c r="O979" s="7"/>
      <c r="Q979" s="7"/>
      <c r="S979" s="7"/>
      <c r="U979" s="7"/>
      <c r="W979" s="7"/>
    </row>
    <row r="980">
      <c r="E980" s="62"/>
      <c r="F980" s="7"/>
      <c r="G980" s="7"/>
      <c r="I980" s="7"/>
      <c r="K980" s="62"/>
      <c r="L980" s="7"/>
      <c r="M980" s="7"/>
      <c r="O980" s="7"/>
      <c r="Q980" s="7"/>
      <c r="S980" s="7"/>
      <c r="U980" s="7"/>
      <c r="W980" s="7"/>
    </row>
    <row r="981">
      <c r="E981" s="62"/>
      <c r="F981" s="7"/>
      <c r="G981" s="7"/>
      <c r="I981" s="7"/>
      <c r="K981" s="62"/>
      <c r="L981" s="7"/>
      <c r="M981" s="7"/>
      <c r="O981" s="7"/>
      <c r="Q981" s="7"/>
      <c r="S981" s="7"/>
      <c r="U981" s="7"/>
      <c r="W981" s="7"/>
    </row>
    <row r="982">
      <c r="E982" s="62"/>
      <c r="F982" s="7"/>
      <c r="G982" s="7"/>
      <c r="I982" s="7"/>
      <c r="K982" s="62"/>
      <c r="L982" s="7"/>
      <c r="M982" s="7"/>
      <c r="O982" s="7"/>
      <c r="Q982" s="7"/>
      <c r="S982" s="7"/>
      <c r="U982" s="7"/>
      <c r="W982" s="7"/>
    </row>
    <row r="983">
      <c r="E983" s="62"/>
      <c r="F983" s="7"/>
      <c r="G983" s="7"/>
      <c r="I983" s="7"/>
      <c r="K983" s="62"/>
      <c r="L983" s="7"/>
      <c r="M983" s="7"/>
      <c r="O983" s="7"/>
      <c r="Q983" s="7"/>
      <c r="S983" s="7"/>
      <c r="U983" s="7"/>
      <c r="W983" s="7"/>
    </row>
    <row r="984">
      <c r="E984" s="62"/>
      <c r="F984" s="7"/>
      <c r="G984" s="7"/>
      <c r="I984" s="7"/>
      <c r="K984" s="62"/>
      <c r="L984" s="7"/>
      <c r="M984" s="7"/>
      <c r="O984" s="7"/>
      <c r="Q984" s="7"/>
      <c r="S984" s="7"/>
      <c r="U984" s="7"/>
      <c r="W984" s="7"/>
    </row>
    <row r="985">
      <c r="E985" s="62"/>
      <c r="F985" s="7"/>
      <c r="G985" s="7"/>
      <c r="I985" s="7"/>
      <c r="K985" s="62"/>
      <c r="L985" s="7"/>
      <c r="M985" s="7"/>
      <c r="O985" s="7"/>
      <c r="Q985" s="7"/>
      <c r="S985" s="7"/>
      <c r="U985" s="7"/>
      <c r="W985" s="7"/>
    </row>
    <row r="986">
      <c r="E986" s="62"/>
      <c r="F986" s="7"/>
      <c r="G986" s="7"/>
      <c r="I986" s="7"/>
      <c r="K986" s="62"/>
      <c r="L986" s="7"/>
      <c r="M986" s="7"/>
      <c r="O986" s="7"/>
      <c r="Q986" s="7"/>
      <c r="S986" s="7"/>
      <c r="U986" s="7"/>
      <c r="W986" s="7"/>
    </row>
    <row r="987">
      <c r="E987" s="62"/>
      <c r="F987" s="7"/>
      <c r="G987" s="7"/>
      <c r="I987" s="7"/>
      <c r="K987" s="62"/>
      <c r="L987" s="7"/>
      <c r="M987" s="7"/>
      <c r="O987" s="7"/>
      <c r="Q987" s="7"/>
      <c r="S987" s="7"/>
      <c r="U987" s="7"/>
      <c r="W987" s="7"/>
    </row>
    <row r="988">
      <c r="E988" s="62"/>
      <c r="F988" s="7"/>
      <c r="G988" s="7"/>
      <c r="I988" s="7"/>
      <c r="K988" s="62"/>
      <c r="L988" s="7"/>
      <c r="M988" s="7"/>
      <c r="O988" s="7"/>
      <c r="Q988" s="7"/>
      <c r="S988" s="7"/>
      <c r="U988" s="7"/>
      <c r="W988" s="7"/>
    </row>
    <row r="989">
      <c r="E989" s="62"/>
      <c r="F989" s="7"/>
      <c r="G989" s="7"/>
      <c r="I989" s="7"/>
      <c r="K989" s="62"/>
      <c r="L989" s="7"/>
      <c r="M989" s="7"/>
      <c r="O989" s="7"/>
      <c r="Q989" s="7"/>
      <c r="S989" s="7"/>
      <c r="U989" s="7"/>
      <c r="W989" s="7"/>
    </row>
    <row r="990">
      <c r="E990" s="62"/>
      <c r="F990" s="7"/>
      <c r="G990" s="7"/>
      <c r="I990" s="7"/>
      <c r="K990" s="62"/>
      <c r="L990" s="7"/>
      <c r="M990" s="7"/>
      <c r="O990" s="7"/>
      <c r="Q990" s="7"/>
      <c r="S990" s="7"/>
      <c r="U990" s="7"/>
      <c r="W990" s="7"/>
    </row>
    <row r="991">
      <c r="E991" s="62"/>
      <c r="F991" s="7"/>
      <c r="G991" s="7"/>
      <c r="I991" s="7"/>
      <c r="K991" s="62"/>
      <c r="L991" s="7"/>
      <c r="M991" s="7"/>
      <c r="O991" s="7"/>
      <c r="Q991" s="7"/>
      <c r="S991" s="7"/>
      <c r="U991" s="7"/>
      <c r="W991" s="7"/>
    </row>
    <row r="992">
      <c r="E992" s="62"/>
      <c r="F992" s="7"/>
      <c r="G992" s="7"/>
      <c r="I992" s="7"/>
      <c r="K992" s="62"/>
      <c r="L992" s="7"/>
      <c r="M992" s="7"/>
      <c r="O992" s="7"/>
      <c r="Q992" s="7"/>
      <c r="S992" s="7"/>
      <c r="U992" s="7"/>
      <c r="W992" s="7"/>
    </row>
    <row r="993">
      <c r="E993" s="62"/>
      <c r="F993" s="7"/>
      <c r="G993" s="7"/>
      <c r="I993" s="7"/>
      <c r="K993" s="62"/>
      <c r="L993" s="7"/>
      <c r="M993" s="7"/>
      <c r="O993" s="7"/>
      <c r="Q993" s="7"/>
      <c r="S993" s="7"/>
      <c r="U993" s="7"/>
      <c r="W993" s="7"/>
    </row>
    <row r="994">
      <c r="E994" s="62"/>
      <c r="F994" s="7"/>
      <c r="G994" s="7"/>
      <c r="I994" s="7"/>
      <c r="K994" s="62"/>
      <c r="L994" s="7"/>
      <c r="M994" s="7"/>
      <c r="O994" s="7"/>
      <c r="Q994" s="7"/>
      <c r="S994" s="7"/>
      <c r="U994" s="7"/>
      <c r="W994" s="7"/>
    </row>
    <row r="995">
      <c r="E995" s="62"/>
      <c r="F995" s="7"/>
      <c r="G995" s="7"/>
      <c r="I995" s="7"/>
      <c r="K995" s="62"/>
      <c r="L995" s="7"/>
      <c r="M995" s="7"/>
      <c r="O995" s="7"/>
      <c r="Q995" s="7"/>
      <c r="S995" s="7"/>
      <c r="U995" s="7"/>
      <c r="W995" s="7"/>
    </row>
    <row r="996">
      <c r="E996" s="62"/>
      <c r="F996" s="7"/>
      <c r="G996" s="7"/>
      <c r="I996" s="7"/>
      <c r="K996" s="62"/>
      <c r="L996" s="7"/>
      <c r="M996" s="7"/>
      <c r="O996" s="7"/>
      <c r="Q996" s="7"/>
      <c r="S996" s="7"/>
      <c r="U996" s="7"/>
      <c r="W996" s="7"/>
    </row>
    <row r="997">
      <c r="E997" s="62"/>
      <c r="F997" s="7"/>
      <c r="G997" s="7"/>
      <c r="I997" s="7"/>
      <c r="K997" s="62"/>
      <c r="L997" s="7"/>
      <c r="M997" s="7"/>
      <c r="O997" s="7"/>
      <c r="Q997" s="7"/>
      <c r="S997" s="7"/>
      <c r="U997" s="7"/>
      <c r="W997" s="7"/>
    </row>
    <row r="998">
      <c r="E998" s="62"/>
      <c r="F998" s="7"/>
      <c r="G998" s="7"/>
      <c r="I998" s="7"/>
      <c r="K998" s="62"/>
      <c r="L998" s="7"/>
      <c r="M998" s="7"/>
      <c r="O998" s="7"/>
      <c r="Q998" s="7"/>
      <c r="S998" s="7"/>
      <c r="U998" s="7"/>
      <c r="W998" s="7"/>
    </row>
    <row r="999">
      <c r="E999" s="62"/>
      <c r="F999" s="7"/>
      <c r="G999" s="7"/>
      <c r="I999" s="7"/>
      <c r="K999" s="62"/>
      <c r="L999" s="7"/>
      <c r="M999" s="7"/>
      <c r="O999" s="7"/>
      <c r="Q999" s="7"/>
      <c r="S999" s="7"/>
      <c r="U999" s="7"/>
      <c r="W999" s="7"/>
    </row>
    <row r="1000">
      <c r="E1000" s="62"/>
      <c r="F1000" s="7"/>
      <c r="G1000" s="7"/>
      <c r="I1000" s="7"/>
      <c r="K1000" s="62"/>
      <c r="L1000" s="7"/>
      <c r="M1000" s="7"/>
      <c r="O1000" s="7"/>
      <c r="Q1000" s="7"/>
      <c r="S1000" s="7"/>
      <c r="U1000" s="7"/>
      <c r="W1000" s="7"/>
    </row>
    <row r="1001">
      <c r="E1001" s="62"/>
      <c r="F1001" s="7"/>
      <c r="G1001" s="7"/>
      <c r="I1001" s="7"/>
      <c r="K1001" s="62"/>
      <c r="L1001" s="7"/>
      <c r="M1001" s="7"/>
      <c r="O1001" s="7"/>
      <c r="Q1001" s="7"/>
      <c r="S1001" s="7"/>
      <c r="U1001" s="7"/>
      <c r="W1001" s="7"/>
    </row>
    <row r="1002">
      <c r="E1002" s="62"/>
      <c r="F1002" s="7"/>
      <c r="G1002" s="7"/>
      <c r="I1002" s="7"/>
      <c r="K1002" s="62"/>
      <c r="L1002" s="7"/>
      <c r="M1002" s="7"/>
      <c r="O1002" s="7"/>
      <c r="Q1002" s="7"/>
      <c r="S1002" s="7"/>
      <c r="U1002" s="7"/>
      <c r="W1002" s="7"/>
    </row>
    <row r="1003">
      <c r="E1003" s="62"/>
      <c r="F1003" s="7"/>
      <c r="G1003" s="7"/>
      <c r="I1003" s="7"/>
      <c r="K1003" s="62"/>
      <c r="L1003" s="7"/>
      <c r="M1003" s="7"/>
      <c r="O1003" s="7"/>
      <c r="Q1003" s="7"/>
      <c r="S1003" s="7"/>
      <c r="U1003" s="7"/>
      <c r="W1003" s="7"/>
    </row>
    <row r="1004">
      <c r="E1004" s="62"/>
      <c r="F1004" s="7"/>
      <c r="G1004" s="7"/>
      <c r="I1004" s="7"/>
      <c r="K1004" s="62"/>
      <c r="L1004" s="7"/>
      <c r="M1004" s="7"/>
      <c r="O1004" s="7"/>
      <c r="Q1004" s="7"/>
      <c r="S1004" s="7"/>
      <c r="U1004" s="7"/>
      <c r="W1004" s="7"/>
    </row>
    <row r="1005">
      <c r="E1005" s="62"/>
      <c r="F1005" s="7"/>
      <c r="G1005" s="7"/>
      <c r="I1005" s="7"/>
      <c r="K1005" s="62"/>
      <c r="L1005" s="7"/>
      <c r="M1005" s="7"/>
      <c r="O1005" s="7"/>
      <c r="Q1005" s="7"/>
      <c r="S1005" s="7"/>
      <c r="U1005" s="7"/>
      <c r="W1005" s="7"/>
    </row>
    <row r="1006">
      <c r="E1006" s="62"/>
      <c r="F1006" s="7"/>
      <c r="G1006" s="7"/>
      <c r="I1006" s="7"/>
      <c r="K1006" s="62"/>
      <c r="L1006" s="7"/>
      <c r="M1006" s="7"/>
      <c r="O1006" s="7"/>
      <c r="Q1006" s="7"/>
      <c r="S1006" s="7"/>
      <c r="U1006" s="7"/>
      <c r="W1006" s="7"/>
    </row>
    <row r="1007">
      <c r="E1007" s="62"/>
      <c r="F1007" s="7"/>
      <c r="G1007" s="7"/>
      <c r="I1007" s="7"/>
      <c r="K1007" s="62"/>
      <c r="L1007" s="7"/>
      <c r="M1007" s="7"/>
      <c r="O1007" s="7"/>
      <c r="Q1007" s="7"/>
      <c r="S1007" s="7"/>
      <c r="U1007" s="7"/>
      <c r="W1007" s="7"/>
    </row>
    <row r="1008">
      <c r="E1008" s="62"/>
      <c r="F1008" s="7"/>
      <c r="G1008" s="7"/>
      <c r="I1008" s="7"/>
      <c r="K1008" s="62"/>
      <c r="L1008" s="7"/>
      <c r="M1008" s="7"/>
      <c r="O1008" s="7"/>
      <c r="Q1008" s="7"/>
      <c r="S1008" s="7"/>
      <c r="U1008" s="7"/>
      <c r="W1008" s="7"/>
    </row>
    <row r="1009">
      <c r="E1009" s="62"/>
      <c r="F1009" s="7"/>
      <c r="G1009" s="7"/>
      <c r="I1009" s="7"/>
      <c r="K1009" s="62"/>
      <c r="L1009" s="7"/>
      <c r="M1009" s="7"/>
      <c r="O1009" s="7"/>
      <c r="Q1009" s="7"/>
      <c r="S1009" s="7"/>
      <c r="U1009" s="7"/>
      <c r="W1009" s="7"/>
    </row>
    <row r="1010">
      <c r="E1010" s="62"/>
      <c r="F1010" s="7"/>
      <c r="G1010" s="7"/>
      <c r="I1010" s="7"/>
      <c r="K1010" s="62"/>
      <c r="L1010" s="7"/>
      <c r="M1010" s="7"/>
      <c r="O1010" s="7"/>
      <c r="Q1010" s="7"/>
      <c r="S1010" s="7"/>
      <c r="U1010" s="7"/>
      <c r="W1010" s="7"/>
    </row>
    <row r="1011">
      <c r="E1011" s="62"/>
      <c r="F1011" s="7"/>
      <c r="G1011" s="7"/>
      <c r="I1011" s="7"/>
      <c r="K1011" s="62"/>
      <c r="L1011" s="7"/>
      <c r="M1011" s="7"/>
      <c r="O1011" s="7"/>
      <c r="Q1011" s="7"/>
      <c r="S1011" s="7"/>
      <c r="U1011" s="7"/>
      <c r="W1011" s="7"/>
    </row>
    <row r="1012">
      <c r="E1012" s="62"/>
      <c r="F1012" s="7"/>
      <c r="G1012" s="7"/>
      <c r="I1012" s="7"/>
      <c r="K1012" s="62"/>
      <c r="L1012" s="7"/>
      <c r="M1012" s="7"/>
      <c r="O1012" s="7"/>
      <c r="Q1012" s="7"/>
      <c r="S1012" s="7"/>
      <c r="U1012" s="7"/>
      <c r="W1012" s="7"/>
    </row>
    <row r="1013">
      <c r="E1013" s="62"/>
      <c r="F1013" s="7"/>
      <c r="G1013" s="7"/>
      <c r="I1013" s="7"/>
      <c r="K1013" s="62"/>
      <c r="L1013" s="7"/>
      <c r="M1013" s="7"/>
      <c r="O1013" s="7"/>
      <c r="Q1013" s="7"/>
      <c r="S1013" s="7"/>
      <c r="U1013" s="7"/>
      <c r="W1013" s="7"/>
    </row>
    <row r="1014">
      <c r="E1014" s="62"/>
      <c r="F1014" s="7"/>
      <c r="G1014" s="7"/>
      <c r="I1014" s="7"/>
      <c r="K1014" s="62"/>
      <c r="L1014" s="7"/>
      <c r="M1014" s="7"/>
      <c r="O1014" s="7"/>
      <c r="Q1014" s="7"/>
      <c r="S1014" s="7"/>
      <c r="U1014" s="7"/>
      <c r="W1014" s="7"/>
    </row>
    <row r="1015">
      <c r="E1015" s="62"/>
      <c r="F1015" s="7"/>
      <c r="G1015" s="7"/>
      <c r="I1015" s="7"/>
      <c r="K1015" s="62"/>
      <c r="L1015" s="7"/>
      <c r="M1015" s="7"/>
      <c r="O1015" s="7"/>
      <c r="Q1015" s="7"/>
      <c r="S1015" s="7"/>
      <c r="U1015" s="7"/>
      <c r="W1015" s="7"/>
    </row>
    <row r="1016">
      <c r="E1016" s="62"/>
      <c r="F1016" s="7"/>
      <c r="G1016" s="7"/>
      <c r="I1016" s="7"/>
      <c r="K1016" s="62"/>
      <c r="L1016" s="7"/>
      <c r="M1016" s="7"/>
      <c r="O1016" s="7"/>
      <c r="Q1016" s="7"/>
      <c r="S1016" s="7"/>
      <c r="U1016" s="7"/>
      <c r="W1016" s="7"/>
    </row>
    <row r="1017">
      <c r="E1017" s="62"/>
      <c r="F1017" s="7"/>
      <c r="G1017" s="7"/>
      <c r="I1017" s="7"/>
      <c r="K1017" s="62"/>
      <c r="L1017" s="7"/>
      <c r="M1017" s="7"/>
      <c r="O1017" s="7"/>
      <c r="Q1017" s="7"/>
      <c r="S1017" s="7"/>
      <c r="U1017" s="7"/>
      <c r="W1017" s="7"/>
    </row>
    <row r="1018">
      <c r="E1018" s="62"/>
      <c r="F1018" s="7"/>
      <c r="G1018" s="7"/>
      <c r="I1018" s="7"/>
      <c r="K1018" s="62"/>
      <c r="L1018" s="7"/>
      <c r="M1018" s="7"/>
      <c r="O1018" s="7"/>
      <c r="Q1018" s="7"/>
      <c r="S1018" s="7"/>
      <c r="U1018" s="7"/>
      <c r="W1018" s="7"/>
    </row>
    <row r="1019">
      <c r="E1019" s="62"/>
      <c r="F1019" s="7"/>
      <c r="G1019" s="7"/>
      <c r="I1019" s="7"/>
      <c r="K1019" s="62"/>
      <c r="L1019" s="7"/>
      <c r="M1019" s="7"/>
      <c r="O1019" s="7"/>
      <c r="Q1019" s="7"/>
      <c r="S1019" s="7"/>
      <c r="U1019" s="7"/>
      <c r="W1019" s="7"/>
    </row>
    <row r="1020">
      <c r="E1020" s="62"/>
      <c r="F1020" s="7"/>
      <c r="G1020" s="7"/>
      <c r="I1020" s="7"/>
      <c r="K1020" s="62"/>
      <c r="L1020" s="7"/>
      <c r="M1020" s="7"/>
      <c r="O1020" s="7"/>
      <c r="Q1020" s="7"/>
      <c r="S1020" s="7"/>
      <c r="U1020" s="7"/>
      <c r="W1020" s="7"/>
    </row>
    <row r="1021">
      <c r="E1021" s="62"/>
      <c r="F1021" s="7"/>
      <c r="G1021" s="7"/>
      <c r="I1021" s="7"/>
      <c r="K1021" s="62"/>
      <c r="L1021" s="7"/>
      <c r="M1021" s="7"/>
      <c r="O1021" s="7"/>
      <c r="Q1021" s="7"/>
      <c r="S1021" s="7"/>
      <c r="U1021" s="7"/>
      <c r="W1021" s="7"/>
    </row>
    <row r="1022">
      <c r="E1022" s="62"/>
      <c r="F1022" s="7"/>
      <c r="G1022" s="7"/>
      <c r="I1022" s="7"/>
      <c r="K1022" s="62"/>
      <c r="L1022" s="7"/>
      <c r="M1022" s="7"/>
      <c r="O1022" s="7"/>
      <c r="Q1022" s="7"/>
      <c r="S1022" s="7"/>
      <c r="U1022" s="7"/>
      <c r="W1022" s="7"/>
    </row>
    <row r="1023">
      <c r="E1023" s="62"/>
      <c r="F1023" s="7"/>
      <c r="G1023" s="7"/>
      <c r="I1023" s="7"/>
      <c r="K1023" s="62"/>
      <c r="L1023" s="7"/>
      <c r="M1023" s="7"/>
      <c r="O1023" s="7"/>
      <c r="Q1023" s="7"/>
      <c r="S1023" s="7"/>
      <c r="U1023" s="7"/>
      <c r="W1023" s="7"/>
    </row>
    <row r="1024">
      <c r="E1024" s="62"/>
      <c r="F1024" s="7"/>
      <c r="G1024" s="7"/>
      <c r="I1024" s="7"/>
      <c r="K1024" s="62"/>
      <c r="L1024" s="7"/>
      <c r="M1024" s="7"/>
      <c r="O1024" s="7"/>
      <c r="Q1024" s="7"/>
      <c r="S1024" s="7"/>
      <c r="U1024" s="7"/>
      <c r="W1024" s="7"/>
    </row>
    <row r="1025">
      <c r="E1025" s="62"/>
      <c r="F1025" s="7"/>
      <c r="G1025" s="7"/>
      <c r="I1025" s="7"/>
      <c r="K1025" s="62"/>
      <c r="L1025" s="7"/>
      <c r="M1025" s="7"/>
      <c r="O1025" s="7"/>
      <c r="Q1025" s="7"/>
      <c r="S1025" s="7"/>
      <c r="U1025" s="7"/>
      <c r="W1025" s="7"/>
    </row>
    <row r="1026">
      <c r="E1026" s="62"/>
      <c r="F1026" s="7"/>
      <c r="G1026" s="7"/>
      <c r="I1026" s="7"/>
      <c r="K1026" s="62"/>
      <c r="L1026" s="7"/>
      <c r="M1026" s="7"/>
      <c r="O1026" s="7"/>
      <c r="Q1026" s="7"/>
      <c r="S1026" s="7"/>
      <c r="U1026" s="7"/>
      <c r="W1026" s="7"/>
    </row>
    <row r="1027">
      <c r="E1027" s="62"/>
      <c r="F1027" s="7"/>
      <c r="G1027" s="7"/>
      <c r="I1027" s="7"/>
      <c r="K1027" s="62"/>
      <c r="L1027" s="7"/>
      <c r="M1027" s="7"/>
      <c r="O1027" s="7"/>
      <c r="Q1027" s="7"/>
      <c r="S1027" s="7"/>
      <c r="U1027" s="7"/>
      <c r="W1027" s="7"/>
    </row>
    <row r="1028">
      <c r="E1028" s="62"/>
      <c r="F1028" s="7"/>
      <c r="G1028" s="7"/>
      <c r="I1028" s="7"/>
      <c r="K1028" s="62"/>
      <c r="L1028" s="7"/>
      <c r="M1028" s="7"/>
      <c r="O1028" s="7"/>
      <c r="Q1028" s="7"/>
      <c r="S1028" s="7"/>
      <c r="U1028" s="7"/>
      <c r="W1028" s="7"/>
    </row>
    <row r="1029">
      <c r="E1029" s="62"/>
      <c r="F1029" s="7"/>
      <c r="G1029" s="7"/>
      <c r="I1029" s="7"/>
      <c r="K1029" s="62"/>
      <c r="L1029" s="7"/>
      <c r="M1029" s="7"/>
      <c r="O1029" s="7"/>
      <c r="Q1029" s="7"/>
      <c r="S1029" s="7"/>
      <c r="U1029" s="7"/>
      <c r="W1029" s="7"/>
    </row>
    <row r="1030">
      <c r="E1030" s="62"/>
      <c r="F1030" s="7"/>
      <c r="G1030" s="7"/>
      <c r="I1030" s="7"/>
      <c r="K1030" s="62"/>
      <c r="L1030" s="7"/>
      <c r="M1030" s="7"/>
      <c r="O1030" s="7"/>
      <c r="Q1030" s="7"/>
      <c r="S1030" s="7"/>
      <c r="U1030" s="7"/>
      <c r="W1030" s="7"/>
    </row>
    <row r="1031">
      <c r="E1031" s="62"/>
      <c r="F1031" s="7"/>
      <c r="G1031" s="7"/>
      <c r="I1031" s="7"/>
      <c r="K1031" s="62"/>
      <c r="L1031" s="7"/>
      <c r="M1031" s="7"/>
      <c r="O1031" s="7"/>
      <c r="Q1031" s="7"/>
      <c r="S1031" s="7"/>
      <c r="U1031" s="7"/>
      <c r="W1031" s="7"/>
    </row>
    <row r="1032">
      <c r="E1032" s="62"/>
      <c r="F1032" s="7"/>
      <c r="G1032" s="7"/>
      <c r="I1032" s="7"/>
      <c r="K1032" s="62"/>
      <c r="L1032" s="7"/>
      <c r="M1032" s="7"/>
      <c r="O1032" s="7"/>
      <c r="Q1032" s="7"/>
      <c r="S1032" s="7"/>
      <c r="U1032" s="7"/>
      <c r="W1032" s="7"/>
    </row>
    <row r="1033">
      <c r="E1033" s="62"/>
      <c r="F1033" s="7"/>
      <c r="G1033" s="7"/>
      <c r="I1033" s="7"/>
      <c r="K1033" s="62"/>
      <c r="L1033" s="7"/>
      <c r="M1033" s="7"/>
      <c r="O1033" s="7"/>
      <c r="Q1033" s="7"/>
      <c r="S1033" s="7"/>
      <c r="U1033" s="7"/>
      <c r="W1033" s="7"/>
    </row>
    <row r="1034">
      <c r="E1034" s="62"/>
      <c r="F1034" s="7"/>
      <c r="G1034" s="7"/>
      <c r="I1034" s="7"/>
      <c r="K1034" s="62"/>
      <c r="L1034" s="7"/>
      <c r="M1034" s="7"/>
      <c r="O1034" s="7"/>
      <c r="Q1034" s="7"/>
      <c r="S1034" s="7"/>
      <c r="U1034" s="7"/>
      <c r="W1034" s="7"/>
    </row>
    <row r="1035">
      <c r="E1035" s="62"/>
      <c r="F1035" s="7"/>
      <c r="G1035" s="7"/>
      <c r="I1035" s="7"/>
      <c r="K1035" s="62"/>
      <c r="L1035" s="7"/>
      <c r="M1035" s="7"/>
      <c r="O1035" s="7"/>
      <c r="Q1035" s="7"/>
      <c r="S1035" s="7"/>
      <c r="U1035" s="7"/>
      <c r="W1035" s="7"/>
    </row>
    <row r="1036">
      <c r="E1036" s="62"/>
      <c r="F1036" s="7"/>
      <c r="G1036" s="7"/>
      <c r="I1036" s="7"/>
      <c r="K1036" s="62"/>
      <c r="L1036" s="7"/>
      <c r="M1036" s="7"/>
      <c r="O1036" s="7"/>
      <c r="Q1036" s="7"/>
      <c r="S1036" s="7"/>
      <c r="U1036" s="7"/>
      <c r="W1036" s="7"/>
    </row>
    <row r="1037">
      <c r="E1037" s="62"/>
      <c r="F1037" s="7"/>
      <c r="G1037" s="7"/>
      <c r="I1037" s="7"/>
      <c r="K1037" s="62"/>
      <c r="L1037" s="7"/>
      <c r="M1037" s="7"/>
      <c r="O1037" s="7"/>
      <c r="Q1037" s="7"/>
      <c r="S1037" s="7"/>
      <c r="U1037" s="7"/>
      <c r="W1037" s="7"/>
    </row>
    <row r="1038">
      <c r="E1038" s="62"/>
      <c r="F1038" s="7"/>
      <c r="G1038" s="7"/>
      <c r="I1038" s="7"/>
      <c r="K1038" s="62"/>
      <c r="L1038" s="7"/>
      <c r="M1038" s="7"/>
      <c r="O1038" s="7"/>
      <c r="Q1038" s="7"/>
      <c r="S1038" s="7"/>
      <c r="U1038" s="7"/>
      <c r="W1038" s="7"/>
    </row>
    <row r="1039">
      <c r="E1039" s="62"/>
      <c r="F1039" s="7"/>
      <c r="G1039" s="7"/>
      <c r="I1039" s="7"/>
      <c r="K1039" s="62"/>
      <c r="L1039" s="7"/>
      <c r="M1039" s="7"/>
      <c r="O1039" s="7"/>
      <c r="Q1039" s="7"/>
      <c r="S1039" s="7"/>
      <c r="U1039" s="7"/>
      <c r="W1039" s="7"/>
    </row>
    <row r="1040">
      <c r="E1040" s="62"/>
      <c r="F1040" s="7"/>
      <c r="G1040" s="7"/>
      <c r="I1040" s="7"/>
      <c r="K1040" s="62"/>
      <c r="L1040" s="7"/>
      <c r="M1040" s="7"/>
      <c r="O1040" s="7"/>
      <c r="Q1040" s="7"/>
      <c r="S1040" s="7"/>
      <c r="U1040" s="7"/>
      <c r="W1040" s="7"/>
    </row>
    <row r="1041">
      <c r="E1041" s="62"/>
      <c r="F1041" s="7"/>
      <c r="G1041" s="7"/>
      <c r="I1041" s="7"/>
      <c r="K1041" s="62"/>
      <c r="L1041" s="7"/>
      <c r="M1041" s="7"/>
      <c r="O1041" s="7"/>
      <c r="Q1041" s="7"/>
      <c r="S1041" s="7"/>
      <c r="U1041" s="7"/>
      <c r="W1041" s="7"/>
    </row>
    <row r="1042">
      <c r="E1042" s="62"/>
      <c r="F1042" s="7"/>
      <c r="G1042" s="7"/>
      <c r="I1042" s="7"/>
      <c r="K1042" s="62"/>
      <c r="L1042" s="7"/>
      <c r="M1042" s="7"/>
      <c r="O1042" s="7"/>
      <c r="Q1042" s="7"/>
      <c r="S1042" s="7"/>
      <c r="U1042" s="7"/>
      <c r="W1042" s="7"/>
    </row>
    <row r="1043">
      <c r="E1043" s="62"/>
      <c r="F1043" s="7"/>
      <c r="G1043" s="7"/>
      <c r="I1043" s="7"/>
      <c r="K1043" s="62"/>
      <c r="L1043" s="7"/>
      <c r="M1043" s="7"/>
      <c r="O1043" s="7"/>
      <c r="Q1043" s="7"/>
      <c r="S1043" s="7"/>
      <c r="U1043" s="7"/>
      <c r="W1043" s="7"/>
    </row>
    <row r="1044">
      <c r="E1044" s="62"/>
      <c r="F1044" s="7"/>
      <c r="G1044" s="7"/>
      <c r="I1044" s="7"/>
      <c r="K1044" s="62"/>
      <c r="L1044" s="7"/>
      <c r="M1044" s="7"/>
      <c r="O1044" s="7"/>
      <c r="Q1044" s="7"/>
      <c r="S1044" s="7"/>
      <c r="U1044" s="7"/>
      <c r="W1044" s="7"/>
    </row>
    <row r="1045">
      <c r="E1045" s="62"/>
      <c r="F1045" s="7"/>
      <c r="G1045" s="7"/>
      <c r="I1045" s="7"/>
      <c r="K1045" s="62"/>
      <c r="L1045" s="7"/>
      <c r="M1045" s="7"/>
      <c r="O1045" s="7"/>
      <c r="Q1045" s="7"/>
      <c r="S1045" s="7"/>
      <c r="U1045" s="7"/>
      <c r="W1045" s="7"/>
    </row>
    <row r="1046">
      <c r="E1046" s="62"/>
      <c r="F1046" s="7"/>
      <c r="G1046" s="7"/>
      <c r="I1046" s="7"/>
      <c r="K1046" s="62"/>
      <c r="L1046" s="7"/>
      <c r="M1046" s="7"/>
      <c r="O1046" s="7"/>
      <c r="Q1046" s="7"/>
      <c r="S1046" s="7"/>
      <c r="U1046" s="7"/>
      <c r="W1046" s="7"/>
    </row>
    <row r="1047">
      <c r="E1047" s="62"/>
      <c r="F1047" s="7"/>
      <c r="G1047" s="7"/>
      <c r="I1047" s="7"/>
      <c r="K1047" s="62"/>
      <c r="L1047" s="7"/>
      <c r="M1047" s="7"/>
      <c r="O1047" s="7"/>
      <c r="Q1047" s="7"/>
      <c r="S1047" s="7"/>
      <c r="U1047" s="7"/>
      <c r="W1047" s="7"/>
    </row>
    <row r="1048">
      <c r="E1048" s="62"/>
      <c r="F1048" s="7"/>
      <c r="G1048" s="7"/>
      <c r="I1048" s="7"/>
      <c r="K1048" s="62"/>
      <c r="L1048" s="7"/>
      <c r="M1048" s="7"/>
      <c r="O1048" s="7"/>
      <c r="Q1048" s="7"/>
      <c r="S1048" s="7"/>
      <c r="U1048" s="7"/>
      <c r="W1048" s="7"/>
    </row>
    <row r="1049">
      <c r="E1049" s="62"/>
      <c r="F1049" s="7"/>
      <c r="G1049" s="7"/>
      <c r="I1049" s="7"/>
      <c r="K1049" s="62"/>
      <c r="L1049" s="7"/>
      <c r="M1049" s="7"/>
      <c r="O1049" s="7"/>
      <c r="Q1049" s="7"/>
      <c r="S1049" s="7"/>
      <c r="U1049" s="7"/>
      <c r="W1049" s="7"/>
    </row>
    <row r="1050">
      <c r="E1050" s="62"/>
      <c r="F1050" s="7"/>
      <c r="G1050" s="7"/>
      <c r="I1050" s="7"/>
      <c r="K1050" s="62"/>
      <c r="L1050" s="7"/>
      <c r="M1050" s="7"/>
      <c r="O1050" s="7"/>
      <c r="Q1050" s="7"/>
      <c r="S1050" s="7"/>
      <c r="U1050" s="7"/>
      <c r="W1050" s="7"/>
    </row>
    <row r="1051">
      <c r="E1051" s="62"/>
      <c r="F1051" s="7"/>
      <c r="G1051" s="7"/>
      <c r="I1051" s="7"/>
      <c r="K1051" s="62"/>
      <c r="L1051" s="7"/>
      <c r="M1051" s="7"/>
      <c r="O1051" s="7"/>
      <c r="Q1051" s="7"/>
      <c r="S1051" s="7"/>
      <c r="U1051" s="7"/>
      <c r="W1051" s="7"/>
    </row>
    <row r="1052">
      <c r="E1052" s="62"/>
      <c r="F1052" s="7"/>
      <c r="G1052" s="7"/>
      <c r="I1052" s="7"/>
      <c r="K1052" s="62"/>
      <c r="L1052" s="7"/>
      <c r="M1052" s="7"/>
      <c r="O1052" s="7"/>
      <c r="Q1052" s="7"/>
      <c r="S1052" s="7"/>
      <c r="U1052" s="7"/>
      <c r="W1052" s="7"/>
    </row>
    <row r="1053">
      <c r="E1053" s="62"/>
      <c r="F1053" s="7"/>
      <c r="G1053" s="7"/>
      <c r="I1053" s="7"/>
      <c r="K1053" s="62"/>
      <c r="L1053" s="7"/>
      <c r="M1053" s="7"/>
      <c r="O1053" s="7"/>
      <c r="Q1053" s="7"/>
      <c r="S1053" s="7"/>
      <c r="U1053" s="7"/>
      <c r="W1053" s="7"/>
    </row>
    <row r="1054">
      <c r="E1054" s="62"/>
      <c r="F1054" s="7"/>
      <c r="G1054" s="7"/>
      <c r="I1054" s="7"/>
      <c r="K1054" s="62"/>
      <c r="L1054" s="7"/>
      <c r="M1054" s="7"/>
      <c r="O1054" s="7"/>
      <c r="Q1054" s="7"/>
      <c r="S1054" s="7"/>
      <c r="U1054" s="7"/>
      <c r="W1054" s="7"/>
    </row>
    <row r="1055">
      <c r="E1055" s="62"/>
      <c r="F1055" s="7"/>
      <c r="G1055" s="7"/>
      <c r="I1055" s="7"/>
      <c r="K1055" s="62"/>
      <c r="L1055" s="7"/>
      <c r="M1055" s="7"/>
      <c r="O1055" s="7"/>
      <c r="Q1055" s="7"/>
      <c r="S1055" s="7"/>
      <c r="U1055" s="7"/>
      <c r="W1055" s="7"/>
    </row>
    <row r="1056">
      <c r="E1056" s="62"/>
      <c r="F1056" s="7"/>
      <c r="G1056" s="7"/>
      <c r="I1056" s="7"/>
      <c r="K1056" s="62"/>
      <c r="L1056" s="7"/>
      <c r="M1056" s="7"/>
      <c r="O1056" s="7"/>
      <c r="Q1056" s="7"/>
      <c r="S1056" s="7"/>
      <c r="U1056" s="7"/>
      <c r="W1056" s="7"/>
    </row>
    <row r="1057">
      <c r="E1057" s="62"/>
      <c r="F1057" s="7"/>
      <c r="G1057" s="7"/>
      <c r="I1057" s="7"/>
      <c r="K1057" s="62"/>
      <c r="L1057" s="7"/>
      <c r="M1057" s="7"/>
      <c r="O1057" s="7"/>
      <c r="Q1057" s="7"/>
      <c r="S1057" s="7"/>
      <c r="U1057" s="7"/>
      <c r="W1057" s="7"/>
    </row>
    <row r="1058">
      <c r="E1058" s="62"/>
      <c r="F1058" s="7"/>
      <c r="G1058" s="7"/>
      <c r="I1058" s="7"/>
      <c r="K1058" s="62"/>
      <c r="L1058" s="7"/>
      <c r="M1058" s="7"/>
      <c r="O1058" s="7"/>
      <c r="Q1058" s="7"/>
      <c r="S1058" s="7"/>
      <c r="U1058" s="7"/>
      <c r="W1058" s="7"/>
    </row>
    <row r="1059">
      <c r="E1059" s="62"/>
      <c r="F1059" s="7"/>
      <c r="G1059" s="7"/>
      <c r="I1059" s="7"/>
      <c r="K1059" s="62"/>
      <c r="L1059" s="7"/>
      <c r="M1059" s="7"/>
      <c r="O1059" s="7"/>
      <c r="Q1059" s="7"/>
      <c r="S1059" s="7"/>
      <c r="U1059" s="7"/>
      <c r="W1059" s="7"/>
    </row>
    <row r="1060">
      <c r="E1060" s="62"/>
      <c r="F1060" s="7"/>
      <c r="G1060" s="7"/>
      <c r="I1060" s="7"/>
      <c r="K1060" s="62"/>
      <c r="L1060" s="7"/>
      <c r="M1060" s="7"/>
      <c r="O1060" s="7"/>
      <c r="Q1060" s="7"/>
      <c r="S1060" s="7"/>
      <c r="U1060" s="7"/>
      <c r="W1060" s="7"/>
    </row>
    <row r="1061">
      <c r="E1061" s="62"/>
      <c r="F1061" s="7"/>
      <c r="G1061" s="7"/>
      <c r="I1061" s="7"/>
      <c r="K1061" s="62"/>
      <c r="L1061" s="7"/>
      <c r="M1061" s="7"/>
      <c r="O1061" s="7"/>
      <c r="Q1061" s="7"/>
      <c r="S1061" s="7"/>
      <c r="U1061" s="7"/>
      <c r="W1061" s="7"/>
    </row>
    <row r="1062">
      <c r="E1062" s="62"/>
      <c r="F1062" s="7"/>
      <c r="G1062" s="7"/>
      <c r="I1062" s="7"/>
      <c r="K1062" s="62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416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5"/>
      <c r="B4" s="26" t="s">
        <v>23</v>
      </c>
      <c r="C4" s="27"/>
      <c r="D4" s="27"/>
      <c r="E4" s="27"/>
      <c r="F4" s="28"/>
      <c r="G4" s="25"/>
      <c r="H4" s="26" t="s">
        <v>27</v>
      </c>
      <c r="I4" s="27"/>
      <c r="J4" s="27"/>
      <c r="K4" s="27"/>
      <c r="L4" s="28"/>
      <c r="M4" s="5"/>
      <c r="N4" s="29"/>
      <c r="P4" s="2"/>
      <c r="Q4" s="5"/>
      <c r="R4" s="2"/>
      <c r="S4" s="5"/>
      <c r="T4" s="2"/>
      <c r="U4" s="5"/>
    </row>
    <row r="5">
      <c r="A5" s="25"/>
      <c r="B5" s="26" t="s">
        <v>33</v>
      </c>
      <c r="C5" s="27"/>
      <c r="D5" s="28"/>
      <c r="E5" s="34" t="s">
        <v>34</v>
      </c>
      <c r="F5" s="31" t="s">
        <v>35</v>
      </c>
      <c r="G5" s="32"/>
      <c r="H5" s="26" t="s">
        <v>33</v>
      </c>
      <c r="I5" s="27"/>
      <c r="J5" s="28"/>
      <c r="K5" s="34" t="s">
        <v>34</v>
      </c>
      <c r="L5" s="31" t="s">
        <v>35</v>
      </c>
      <c r="M5" s="7"/>
      <c r="N5" s="2"/>
      <c r="O5" s="5"/>
      <c r="P5" s="2"/>
      <c r="Q5" s="7"/>
      <c r="R5" s="2"/>
      <c r="S5" s="5"/>
      <c r="T5" s="2"/>
      <c r="U5" s="7"/>
    </row>
    <row r="6">
      <c r="A6" s="33"/>
      <c r="B6" s="26"/>
      <c r="C6" s="27"/>
      <c r="D6" s="28"/>
      <c r="E6" s="34"/>
      <c r="F6" s="31"/>
      <c r="G6" s="32"/>
      <c r="H6" s="35" t="s">
        <v>39</v>
      </c>
      <c r="I6" s="27"/>
      <c r="J6" s="28"/>
      <c r="K6" s="59">
        <v>43802.0</v>
      </c>
      <c r="L6" s="3">
        <v>1.5</v>
      </c>
      <c r="M6" s="7"/>
      <c r="N6" s="2"/>
      <c r="O6" s="5"/>
      <c r="S6" s="7"/>
      <c r="U6" s="7"/>
    </row>
    <row r="7">
      <c r="A7" s="33"/>
      <c r="B7" s="26"/>
      <c r="C7" s="27"/>
      <c r="D7" s="28"/>
      <c r="E7" s="59"/>
      <c r="F7" s="31"/>
      <c r="G7" s="37"/>
      <c r="H7" s="35" t="s">
        <v>39</v>
      </c>
      <c r="I7" s="27"/>
      <c r="J7" s="28"/>
      <c r="K7" s="59">
        <v>43803.0</v>
      </c>
      <c r="L7" s="3">
        <v>1.5</v>
      </c>
      <c r="M7" s="7"/>
      <c r="N7" s="2"/>
      <c r="O7" s="5"/>
      <c r="S7" s="7"/>
      <c r="U7" s="7"/>
      <c r="W7" s="7"/>
    </row>
    <row r="8">
      <c r="A8" s="33"/>
      <c r="B8" s="26"/>
      <c r="C8" s="27"/>
      <c r="D8" s="28"/>
      <c r="E8" s="34"/>
      <c r="F8" s="31"/>
      <c r="G8" s="37"/>
      <c r="H8" s="35" t="s">
        <v>220</v>
      </c>
      <c r="I8" s="27"/>
      <c r="J8" s="28"/>
      <c r="K8" s="59">
        <v>43802.0</v>
      </c>
      <c r="L8" s="3">
        <v>1.0</v>
      </c>
      <c r="M8" s="7"/>
      <c r="N8" s="2"/>
      <c r="O8" s="5"/>
      <c r="S8" s="7"/>
      <c r="U8" s="7"/>
      <c r="W8" s="7"/>
    </row>
    <row r="9">
      <c r="A9" s="33"/>
      <c r="B9" s="26"/>
      <c r="C9" s="27"/>
      <c r="D9" s="28"/>
      <c r="E9" s="34"/>
      <c r="F9" s="31"/>
      <c r="G9" s="37"/>
      <c r="H9" s="35" t="s">
        <v>220</v>
      </c>
      <c r="I9" s="27"/>
      <c r="J9" s="28"/>
      <c r="K9" s="59">
        <v>43801.0</v>
      </c>
      <c r="L9" s="3">
        <v>1.0</v>
      </c>
      <c r="M9" s="7"/>
      <c r="N9" s="2"/>
      <c r="O9" s="5"/>
      <c r="S9" s="7"/>
      <c r="U9" s="7"/>
      <c r="W9" s="7"/>
    </row>
    <row r="10">
      <c r="A10" s="33"/>
      <c r="B10" s="26"/>
      <c r="C10" s="27"/>
      <c r="D10" s="28"/>
      <c r="E10" s="34"/>
      <c r="F10" s="31"/>
      <c r="G10" s="37"/>
      <c r="H10" s="35" t="s">
        <v>39</v>
      </c>
      <c r="I10" s="27"/>
      <c r="J10" s="28"/>
      <c r="K10" s="59">
        <v>43804.0</v>
      </c>
      <c r="L10" s="3">
        <v>1.0</v>
      </c>
      <c r="M10" s="7"/>
      <c r="N10" s="2"/>
      <c r="O10" s="5"/>
      <c r="S10" s="7"/>
      <c r="U10" s="7"/>
      <c r="W10" s="7"/>
    </row>
    <row r="11">
      <c r="A11" s="33"/>
      <c r="B11" s="26"/>
      <c r="C11" s="27"/>
      <c r="D11" s="28"/>
      <c r="E11" s="34"/>
      <c r="F11" s="31"/>
      <c r="G11" s="37"/>
      <c r="H11" s="35" t="s">
        <v>39</v>
      </c>
      <c r="I11" s="27"/>
      <c r="J11" s="28"/>
      <c r="K11" s="59">
        <v>43805.0</v>
      </c>
      <c r="L11" s="3">
        <v>1.0</v>
      </c>
      <c r="M11" s="7"/>
      <c r="N11" s="2"/>
      <c r="O11" s="7"/>
      <c r="S11" s="7"/>
      <c r="U11" s="7"/>
      <c r="W11" s="7"/>
    </row>
    <row r="12">
      <c r="A12" s="33"/>
      <c r="B12" s="39"/>
      <c r="C12" s="27"/>
      <c r="D12" s="28"/>
      <c r="E12" s="34"/>
      <c r="F12" s="40"/>
      <c r="G12" s="37"/>
      <c r="H12" s="35" t="s">
        <v>39</v>
      </c>
      <c r="I12" s="27"/>
      <c r="J12" s="28"/>
      <c r="K12" s="59">
        <v>43807.0</v>
      </c>
      <c r="L12" s="3">
        <v>1.0</v>
      </c>
      <c r="M12" s="7"/>
      <c r="N12" s="41"/>
      <c r="O12" s="42"/>
      <c r="Q12" s="7"/>
      <c r="S12" s="7"/>
      <c r="U12" s="7"/>
      <c r="W12" s="7"/>
    </row>
    <row r="13">
      <c r="A13" s="33"/>
      <c r="B13" s="39"/>
      <c r="C13" s="27"/>
      <c r="D13" s="28"/>
      <c r="E13" s="34"/>
      <c r="F13" s="40"/>
      <c r="G13" s="37"/>
      <c r="H13" s="35" t="s">
        <v>417</v>
      </c>
      <c r="I13" s="27"/>
      <c r="J13" s="28"/>
      <c r="K13" s="59">
        <v>43807.0</v>
      </c>
      <c r="L13" s="3">
        <v>3.0</v>
      </c>
      <c r="M13" s="7"/>
      <c r="N13" s="41"/>
      <c r="O13" s="42"/>
      <c r="Q13" s="7"/>
      <c r="S13" s="7"/>
      <c r="U13" s="7"/>
      <c r="W13" s="7"/>
    </row>
    <row r="14">
      <c r="A14" s="33"/>
      <c r="B14" s="39"/>
      <c r="C14" s="27"/>
      <c r="D14" s="28"/>
      <c r="E14" s="34"/>
      <c r="F14" s="40"/>
      <c r="G14" s="37"/>
      <c r="H14" s="35" t="s">
        <v>418</v>
      </c>
      <c r="I14" s="27"/>
      <c r="J14" s="28"/>
      <c r="K14" s="59">
        <v>43808.0</v>
      </c>
      <c r="L14" s="3">
        <v>8.3</v>
      </c>
      <c r="M14" s="7"/>
      <c r="N14" s="41"/>
      <c r="O14" s="42"/>
      <c r="Q14" s="7"/>
      <c r="S14" s="7"/>
      <c r="U14" s="7"/>
      <c r="W14" s="7"/>
    </row>
    <row r="15">
      <c r="A15" s="33"/>
      <c r="B15" s="39"/>
      <c r="C15" s="27"/>
      <c r="D15" s="28"/>
      <c r="E15" s="34"/>
      <c r="F15" s="40"/>
      <c r="G15" s="37"/>
      <c r="H15" s="35" t="s">
        <v>39</v>
      </c>
      <c r="I15" s="27"/>
      <c r="J15" s="28"/>
      <c r="K15" s="59">
        <v>43810.0</v>
      </c>
      <c r="L15" s="3">
        <v>1.5</v>
      </c>
      <c r="M15" s="7"/>
      <c r="N15" s="41"/>
      <c r="O15" s="42"/>
      <c r="Q15" s="7"/>
      <c r="S15" s="7"/>
      <c r="U15" s="7"/>
      <c r="W15" s="7"/>
    </row>
    <row r="16">
      <c r="A16" s="33"/>
      <c r="B16" s="39"/>
      <c r="C16" s="27"/>
      <c r="D16" s="28"/>
      <c r="E16" s="34"/>
      <c r="F16" s="40"/>
      <c r="G16" s="37"/>
      <c r="H16" s="35" t="s">
        <v>108</v>
      </c>
      <c r="I16" s="27"/>
      <c r="J16" s="28"/>
      <c r="K16" s="59">
        <v>43813.0</v>
      </c>
      <c r="L16" s="3">
        <v>12.0</v>
      </c>
      <c r="M16" s="7"/>
      <c r="N16" s="41"/>
      <c r="O16" s="42"/>
      <c r="Q16" s="7"/>
      <c r="S16" s="7"/>
      <c r="U16" s="7"/>
      <c r="W16" s="7"/>
    </row>
    <row r="17">
      <c r="A17" s="33"/>
      <c r="B17" s="39"/>
      <c r="C17" s="27"/>
      <c r="D17" s="28"/>
      <c r="E17" s="34"/>
      <c r="F17" s="40"/>
      <c r="G17" s="37"/>
      <c r="H17" s="35" t="s">
        <v>39</v>
      </c>
      <c r="I17" s="27"/>
      <c r="J17" s="28"/>
      <c r="K17" s="59">
        <v>43815.0</v>
      </c>
      <c r="L17" s="3">
        <v>1.0</v>
      </c>
      <c r="M17" s="7"/>
      <c r="N17" s="41"/>
      <c r="O17" s="42"/>
      <c r="Q17" s="7"/>
      <c r="S17" s="7"/>
      <c r="U17" s="7"/>
      <c r="W17" s="7"/>
    </row>
    <row r="18">
      <c r="A18" s="33"/>
      <c r="B18" s="39"/>
      <c r="C18" s="27"/>
      <c r="D18" s="28"/>
      <c r="E18" s="34"/>
      <c r="F18" s="40"/>
      <c r="G18" s="37"/>
      <c r="H18" s="35" t="s">
        <v>39</v>
      </c>
      <c r="I18" s="27"/>
      <c r="J18" s="28"/>
      <c r="K18" s="58">
        <v>43816.0</v>
      </c>
      <c r="L18" s="3">
        <v>1.5</v>
      </c>
      <c r="M18" s="7"/>
      <c r="N18" s="41"/>
      <c r="O18" s="42"/>
      <c r="Q18" s="7"/>
      <c r="S18" s="7"/>
      <c r="U18" s="7"/>
      <c r="W18" s="7"/>
    </row>
    <row r="19">
      <c r="A19" s="33"/>
      <c r="B19" s="39"/>
      <c r="C19" s="27"/>
      <c r="D19" s="28"/>
      <c r="E19" s="34"/>
      <c r="F19" s="40"/>
      <c r="G19" s="37"/>
      <c r="H19" s="35" t="s">
        <v>39</v>
      </c>
      <c r="I19" s="27"/>
      <c r="J19" s="28"/>
      <c r="K19" s="59">
        <v>43817.0</v>
      </c>
      <c r="L19" s="3">
        <v>1.0</v>
      </c>
      <c r="M19" s="7"/>
      <c r="N19" s="41"/>
      <c r="O19" s="42"/>
      <c r="Q19" s="7"/>
      <c r="S19" s="7"/>
      <c r="U19" s="7"/>
      <c r="W19" s="7"/>
    </row>
    <row r="20">
      <c r="A20" s="33"/>
      <c r="B20" s="39"/>
      <c r="C20" s="27"/>
      <c r="D20" s="28"/>
      <c r="E20" s="34"/>
      <c r="F20" s="40"/>
      <c r="G20" s="37"/>
      <c r="H20" s="35" t="s">
        <v>39</v>
      </c>
      <c r="I20" s="27"/>
      <c r="J20" s="28"/>
      <c r="K20" s="59">
        <v>43818.0</v>
      </c>
      <c r="L20" s="3">
        <v>1.0</v>
      </c>
      <c r="M20" s="7"/>
      <c r="N20" s="41"/>
      <c r="O20" s="42"/>
      <c r="Q20" s="7"/>
      <c r="S20" s="7"/>
      <c r="U20" s="7"/>
      <c r="W20" s="7"/>
    </row>
    <row r="21">
      <c r="A21" s="33"/>
      <c r="B21" s="39"/>
      <c r="C21" s="27"/>
      <c r="D21" s="28"/>
      <c r="E21" s="34"/>
      <c r="F21" s="40"/>
      <c r="G21" s="37"/>
      <c r="H21" s="43" t="s">
        <v>419</v>
      </c>
      <c r="I21" s="27"/>
      <c r="J21" s="28"/>
      <c r="K21" s="59">
        <v>43818.0</v>
      </c>
      <c r="L21" s="3">
        <f>12</f>
        <v>12</v>
      </c>
      <c r="M21" s="7"/>
      <c r="N21" s="41"/>
      <c r="O21" s="42"/>
      <c r="Q21" s="7"/>
      <c r="S21" s="7"/>
      <c r="U21" s="7"/>
      <c r="W21" s="7"/>
    </row>
    <row r="22">
      <c r="A22" s="33"/>
      <c r="B22" s="39"/>
      <c r="C22" s="27"/>
      <c r="D22" s="28"/>
      <c r="E22" s="34"/>
      <c r="F22" s="40"/>
      <c r="G22" s="37"/>
      <c r="H22" s="43" t="s">
        <v>133</v>
      </c>
      <c r="I22" s="27"/>
      <c r="J22" s="28"/>
      <c r="K22" s="59">
        <v>43821.0</v>
      </c>
      <c r="L22" s="3">
        <v>15.0</v>
      </c>
      <c r="M22" s="7"/>
      <c r="N22" s="41"/>
      <c r="O22" s="42"/>
      <c r="Q22" s="7"/>
      <c r="S22" s="7"/>
      <c r="U22" s="7"/>
      <c r="W22" s="7"/>
    </row>
    <row r="23">
      <c r="A23" s="33"/>
      <c r="B23" s="39"/>
      <c r="C23" s="27"/>
      <c r="D23" s="28"/>
      <c r="E23" s="34"/>
      <c r="F23" s="40"/>
      <c r="G23" s="37"/>
      <c r="H23" s="43" t="s">
        <v>420</v>
      </c>
      <c r="I23" s="27"/>
      <c r="J23" s="28"/>
      <c r="K23" s="58">
        <v>43828.0</v>
      </c>
      <c r="L23" s="3">
        <f>10.3+13.9</f>
        <v>24.2</v>
      </c>
      <c r="M23" s="7"/>
      <c r="N23" s="41"/>
      <c r="O23" s="42"/>
      <c r="Q23" s="7"/>
      <c r="S23" s="7"/>
      <c r="U23" s="7"/>
      <c r="W23" s="7"/>
    </row>
    <row r="24">
      <c r="A24" s="33"/>
      <c r="B24" s="39"/>
      <c r="C24" s="27"/>
      <c r="D24" s="28"/>
      <c r="E24" s="34"/>
      <c r="F24" s="40"/>
      <c r="G24" s="37"/>
      <c r="H24" s="43"/>
      <c r="I24" s="27"/>
      <c r="J24" s="28"/>
      <c r="K24" s="58"/>
      <c r="L24" s="3"/>
      <c r="M24" s="7"/>
      <c r="N24" s="41"/>
      <c r="O24" s="42"/>
      <c r="Q24" s="7"/>
      <c r="S24" s="7"/>
      <c r="U24" s="7"/>
      <c r="W24" s="7"/>
    </row>
    <row r="25">
      <c r="A25" s="33"/>
      <c r="B25" s="39"/>
      <c r="C25" s="27"/>
      <c r="D25" s="28"/>
      <c r="E25" s="34"/>
      <c r="F25" s="40"/>
      <c r="G25" s="37"/>
      <c r="H25" s="43"/>
      <c r="I25" s="27"/>
      <c r="J25" s="28"/>
      <c r="K25" s="59"/>
      <c r="L25" s="3"/>
      <c r="M25" s="7"/>
      <c r="N25" s="41"/>
      <c r="O25" s="42"/>
      <c r="Q25" s="7"/>
      <c r="S25" s="7"/>
      <c r="U25" s="7"/>
      <c r="W25" s="7"/>
    </row>
    <row r="26">
      <c r="A26" s="33"/>
      <c r="B26" s="39"/>
      <c r="C26" s="27"/>
      <c r="D26" s="28"/>
      <c r="E26" s="34"/>
      <c r="F26" s="40"/>
      <c r="G26" s="37"/>
      <c r="H26" s="43"/>
      <c r="I26" s="27"/>
      <c r="J26" s="28"/>
      <c r="K26" s="59"/>
      <c r="L26" s="3"/>
      <c r="M26" s="7"/>
      <c r="N26" s="41"/>
      <c r="O26" s="42"/>
      <c r="Q26" s="7"/>
      <c r="S26" s="7"/>
      <c r="U26" s="7"/>
      <c r="W26" s="7"/>
    </row>
    <row r="27">
      <c r="A27" s="33"/>
      <c r="B27" s="39"/>
      <c r="C27" s="27"/>
      <c r="D27" s="28"/>
      <c r="E27" s="34"/>
      <c r="F27" s="40"/>
      <c r="G27" s="37"/>
      <c r="H27" s="43"/>
      <c r="I27" s="27"/>
      <c r="J27" s="28"/>
      <c r="K27" s="59"/>
      <c r="L27" s="3"/>
      <c r="M27" s="7"/>
      <c r="N27" s="41"/>
      <c r="O27" s="42"/>
      <c r="Q27" s="7"/>
      <c r="S27" s="7"/>
      <c r="U27" s="7"/>
      <c r="W27" s="7"/>
    </row>
    <row r="28">
      <c r="A28" s="33"/>
      <c r="B28" s="39"/>
      <c r="C28" s="27"/>
      <c r="D28" s="28"/>
      <c r="E28" s="34"/>
      <c r="F28" s="40"/>
      <c r="G28" s="37"/>
      <c r="H28" s="43"/>
      <c r="I28" s="27"/>
      <c r="J28" s="28"/>
      <c r="K28" s="58"/>
      <c r="L28" s="3"/>
      <c r="M28" s="7"/>
      <c r="N28" s="41"/>
      <c r="O28" s="42"/>
      <c r="Q28" s="7"/>
      <c r="S28" s="7"/>
      <c r="U28" s="7"/>
      <c r="W28" s="7"/>
    </row>
    <row r="29">
      <c r="A29" s="33"/>
      <c r="B29" s="39"/>
      <c r="C29" s="27"/>
      <c r="D29" s="28"/>
      <c r="E29" s="34"/>
      <c r="F29" s="40"/>
      <c r="G29" s="37"/>
      <c r="H29" s="43"/>
      <c r="I29" s="27"/>
      <c r="J29" s="28"/>
      <c r="K29" s="58"/>
      <c r="L29" s="3"/>
      <c r="M29" s="7"/>
      <c r="N29" s="41"/>
      <c r="O29" s="42"/>
      <c r="Q29" s="7"/>
      <c r="S29" s="7"/>
      <c r="U29" s="7"/>
      <c r="W29" s="7"/>
    </row>
    <row r="30">
      <c r="A30" s="33"/>
      <c r="B30" s="39"/>
      <c r="C30" s="27"/>
      <c r="D30" s="28"/>
      <c r="E30" s="34"/>
      <c r="F30" s="40"/>
      <c r="G30" s="37"/>
      <c r="H30" s="43"/>
      <c r="I30" s="27"/>
      <c r="J30" s="28"/>
      <c r="K30" s="59"/>
      <c r="L30" s="3"/>
      <c r="M30" s="7"/>
      <c r="N30" s="41"/>
      <c r="O30" s="42"/>
      <c r="Q30" s="7"/>
      <c r="S30" s="7"/>
      <c r="U30" s="7"/>
      <c r="W30" s="7"/>
    </row>
    <row r="31">
      <c r="A31" s="33"/>
      <c r="B31" s="39"/>
      <c r="C31" s="27"/>
      <c r="D31" s="28"/>
      <c r="E31" s="34"/>
      <c r="F31" s="40"/>
      <c r="G31" s="37"/>
      <c r="H31" s="43"/>
      <c r="I31" s="27"/>
      <c r="J31" s="28"/>
      <c r="K31" s="59"/>
      <c r="L31" s="3"/>
      <c r="M31" s="7"/>
      <c r="N31" s="41"/>
      <c r="O31" s="42"/>
      <c r="Q31" s="7"/>
      <c r="S31" s="7"/>
      <c r="U31" s="7"/>
      <c r="W31" s="7"/>
    </row>
    <row r="32">
      <c r="A32" s="33"/>
      <c r="B32" s="39"/>
      <c r="C32" s="27"/>
      <c r="D32" s="28"/>
      <c r="E32" s="34"/>
      <c r="F32" s="40"/>
      <c r="G32" s="37"/>
      <c r="H32" s="43"/>
      <c r="I32" s="27"/>
      <c r="J32" s="28"/>
      <c r="K32" s="59"/>
      <c r="L32" s="3"/>
      <c r="M32" s="7"/>
      <c r="N32" s="41"/>
      <c r="O32" s="42"/>
      <c r="Q32" s="7"/>
      <c r="S32" s="7"/>
      <c r="U32" s="7"/>
      <c r="W32" s="7"/>
    </row>
    <row r="33">
      <c r="A33" s="33"/>
      <c r="B33" s="39"/>
      <c r="C33" s="27"/>
      <c r="D33" s="28"/>
      <c r="E33" s="34"/>
      <c r="F33" s="40"/>
      <c r="G33" s="37"/>
      <c r="H33" s="43"/>
      <c r="I33" s="27"/>
      <c r="J33" s="28"/>
      <c r="K33" s="59"/>
      <c r="L33" s="3"/>
      <c r="M33" s="7"/>
      <c r="N33" s="41"/>
      <c r="O33" s="42"/>
      <c r="Q33" s="7"/>
      <c r="S33" s="7"/>
      <c r="U33" s="7"/>
      <c r="W33" s="7"/>
    </row>
    <row r="34">
      <c r="A34" s="33"/>
      <c r="B34" s="39"/>
      <c r="C34" s="27"/>
      <c r="D34" s="28"/>
      <c r="E34" s="34"/>
      <c r="F34" s="40"/>
      <c r="G34" s="37"/>
      <c r="H34" s="43"/>
      <c r="I34" s="27"/>
      <c r="J34" s="28"/>
      <c r="K34" s="59"/>
      <c r="L34" s="3"/>
      <c r="M34" s="7"/>
      <c r="N34" s="41"/>
      <c r="O34" s="42"/>
      <c r="Q34" s="7"/>
      <c r="S34" s="7"/>
      <c r="U34" s="7"/>
      <c r="W34" s="7"/>
    </row>
    <row r="35">
      <c r="A35" s="33"/>
      <c r="B35" s="39"/>
      <c r="C35" s="27"/>
      <c r="D35" s="28"/>
      <c r="E35" s="34"/>
      <c r="F35" s="40"/>
      <c r="G35" s="37"/>
      <c r="H35" s="43"/>
      <c r="I35" s="27"/>
      <c r="J35" s="28"/>
      <c r="K35" s="59"/>
      <c r="L35" s="3"/>
      <c r="M35" s="7"/>
      <c r="N35" s="41"/>
      <c r="O35" s="42"/>
      <c r="Q35" s="7"/>
      <c r="S35" s="7"/>
      <c r="U35" s="7"/>
      <c r="W35" s="7"/>
    </row>
    <row r="36">
      <c r="A36" s="33"/>
      <c r="B36" s="39"/>
      <c r="C36" s="27"/>
      <c r="D36" s="28"/>
      <c r="E36" s="34"/>
      <c r="F36" s="40"/>
      <c r="G36" s="37"/>
      <c r="H36" s="43"/>
      <c r="I36" s="27"/>
      <c r="J36" s="28"/>
      <c r="K36" s="59"/>
      <c r="L36" s="3"/>
      <c r="M36" s="7"/>
      <c r="N36" s="41"/>
      <c r="O36" s="42"/>
      <c r="Q36" s="7"/>
      <c r="S36" s="7"/>
      <c r="U36" s="7"/>
      <c r="W36" s="7"/>
    </row>
    <row r="37">
      <c r="A37" s="2"/>
      <c r="B37" s="35" t="s">
        <v>17</v>
      </c>
      <c r="C37" s="27"/>
      <c r="D37" s="28"/>
      <c r="E37" s="60"/>
      <c r="F37" s="6">
        <f>SUM(F6:F12)</f>
        <v>0</v>
      </c>
      <c r="G37" s="7"/>
      <c r="H37" s="35" t="s">
        <v>17</v>
      </c>
      <c r="I37" s="27"/>
      <c r="J37" s="28"/>
      <c r="K37" s="60"/>
      <c r="L37" s="6">
        <f>SUM(L6:L36)</f>
        <v>88.5</v>
      </c>
      <c r="M37" s="7"/>
      <c r="N37" s="41"/>
      <c r="O37" s="20"/>
      <c r="Q37" s="7"/>
      <c r="S37" s="7"/>
      <c r="U37" s="7"/>
      <c r="W37" s="7"/>
    </row>
    <row r="38" ht="9.0" customHeight="1">
      <c r="A38" s="25"/>
      <c r="B38" s="25"/>
      <c r="C38" s="25"/>
      <c r="D38" s="25"/>
      <c r="E38" s="61"/>
      <c r="F38" s="25"/>
      <c r="G38" s="25"/>
      <c r="H38" s="25"/>
      <c r="I38" s="25"/>
      <c r="J38" s="25"/>
      <c r="K38" s="61"/>
      <c r="L38" s="25"/>
      <c r="M38" s="7"/>
      <c r="N38" s="46"/>
      <c r="O38" s="47"/>
      <c r="Q38" s="7"/>
      <c r="S38" s="7"/>
      <c r="U38" s="7"/>
      <c r="W38" s="7"/>
    </row>
    <row r="39">
      <c r="A39" s="25"/>
      <c r="B39" s="26" t="s">
        <v>26</v>
      </c>
      <c r="C39" s="27"/>
      <c r="D39" s="27"/>
      <c r="E39" s="27"/>
      <c r="F39" s="28"/>
      <c r="G39" s="25"/>
      <c r="H39" s="26" t="s">
        <v>25</v>
      </c>
      <c r="I39" s="27"/>
      <c r="J39" s="27"/>
      <c r="K39" s="27"/>
      <c r="L39" s="28"/>
      <c r="M39" s="7"/>
      <c r="N39" s="46"/>
      <c r="O39" s="47"/>
      <c r="Q39" s="7"/>
      <c r="S39" s="7"/>
      <c r="U39" s="7"/>
      <c r="W39" s="7"/>
    </row>
    <row r="40">
      <c r="A40" s="25"/>
      <c r="B40" s="26" t="s">
        <v>33</v>
      </c>
      <c r="C40" s="27"/>
      <c r="D40" s="28"/>
      <c r="E40" s="34" t="s">
        <v>34</v>
      </c>
      <c r="F40" s="31" t="s">
        <v>35</v>
      </c>
      <c r="G40" s="32"/>
      <c r="H40" s="26" t="s">
        <v>33</v>
      </c>
      <c r="I40" s="27"/>
      <c r="J40" s="28"/>
      <c r="K40" s="34" t="s">
        <v>34</v>
      </c>
      <c r="L40" s="31" t="s">
        <v>35</v>
      </c>
      <c r="M40" s="7"/>
      <c r="O40" s="7"/>
      <c r="Q40" s="7"/>
      <c r="S40" s="7"/>
      <c r="U40" s="7"/>
      <c r="W40" s="7"/>
    </row>
    <row r="41">
      <c r="A41" s="2"/>
      <c r="B41" s="35" t="s">
        <v>359</v>
      </c>
      <c r="C41" s="27"/>
      <c r="D41" s="28"/>
      <c r="E41" s="58">
        <v>43804.0</v>
      </c>
      <c r="F41" s="3">
        <v>60.0</v>
      </c>
      <c r="G41" s="5"/>
      <c r="H41" s="35" t="s">
        <v>58</v>
      </c>
      <c r="I41" s="27"/>
      <c r="J41" s="28"/>
      <c r="K41" s="59">
        <v>43801.0</v>
      </c>
      <c r="L41" s="3">
        <v>3.29</v>
      </c>
      <c r="M41" s="7"/>
      <c r="O41" s="7"/>
      <c r="Q41" s="7"/>
      <c r="S41" s="7"/>
      <c r="U41" s="7"/>
      <c r="W41" s="7"/>
    </row>
    <row r="42">
      <c r="A42" s="50"/>
      <c r="B42" s="35" t="s">
        <v>421</v>
      </c>
      <c r="C42" s="27"/>
      <c r="D42" s="28"/>
      <c r="E42" s="59">
        <v>43806.0</v>
      </c>
      <c r="F42" s="3">
        <v>20.0</v>
      </c>
      <c r="G42" s="7"/>
      <c r="H42" s="35" t="s">
        <v>422</v>
      </c>
      <c r="I42" s="27"/>
      <c r="J42" s="28"/>
      <c r="K42" s="59">
        <v>43801.0</v>
      </c>
      <c r="L42" s="49">
        <v>5.29</v>
      </c>
      <c r="M42" s="7"/>
      <c r="O42" s="7"/>
      <c r="Q42" s="7"/>
      <c r="S42" s="7"/>
      <c r="U42" s="7"/>
      <c r="W42" s="7"/>
    </row>
    <row r="43">
      <c r="A43" s="50"/>
      <c r="B43" s="35" t="s">
        <v>423</v>
      </c>
      <c r="C43" s="27"/>
      <c r="D43" s="28"/>
      <c r="E43" s="36">
        <v>43807.0</v>
      </c>
      <c r="F43" s="3">
        <v>49.9</v>
      </c>
      <c r="G43" s="7"/>
      <c r="H43" s="35" t="s">
        <v>52</v>
      </c>
      <c r="I43" s="27"/>
      <c r="J43" s="28"/>
      <c r="K43" s="59">
        <v>43810.0</v>
      </c>
      <c r="L43" s="49">
        <v>5.0</v>
      </c>
      <c r="M43" s="7"/>
      <c r="O43" s="7"/>
      <c r="Q43" s="7"/>
      <c r="S43" s="7"/>
      <c r="U43" s="7"/>
      <c r="W43" s="7"/>
    </row>
    <row r="44">
      <c r="A44" s="50"/>
      <c r="B44" s="35" t="s">
        <v>424</v>
      </c>
      <c r="C44" s="27"/>
      <c r="D44" s="28"/>
      <c r="E44" s="36">
        <v>43808.0</v>
      </c>
      <c r="F44" s="3">
        <v>7.75</v>
      </c>
      <c r="G44" s="7"/>
      <c r="H44" s="35" t="s">
        <v>425</v>
      </c>
      <c r="I44" s="27"/>
      <c r="J44" s="28"/>
      <c r="K44" s="59">
        <v>43811.0</v>
      </c>
      <c r="L44" s="49">
        <v>2.75</v>
      </c>
      <c r="M44" s="7"/>
      <c r="O44" s="7"/>
      <c r="Q44" s="7"/>
      <c r="S44" s="7"/>
      <c r="U44" s="7"/>
      <c r="W44" s="7"/>
    </row>
    <row r="45">
      <c r="A45" s="50"/>
      <c r="B45" s="35" t="s">
        <v>403</v>
      </c>
      <c r="C45" s="27"/>
      <c r="D45" s="28"/>
      <c r="E45" s="59">
        <v>43808.0</v>
      </c>
      <c r="F45" s="3">
        <v>89.9</v>
      </c>
      <c r="G45" s="7"/>
      <c r="H45" s="35" t="s">
        <v>426</v>
      </c>
      <c r="I45" s="27"/>
      <c r="J45" s="28"/>
      <c r="K45" s="59">
        <v>43811.0</v>
      </c>
      <c r="L45" s="49">
        <v>4.48</v>
      </c>
      <c r="M45" s="7"/>
      <c r="O45" s="7"/>
      <c r="Q45" s="7"/>
      <c r="S45" s="7"/>
      <c r="U45" s="7"/>
      <c r="W45" s="7"/>
    </row>
    <row r="46">
      <c r="A46" s="50"/>
      <c r="B46" s="35" t="s">
        <v>427</v>
      </c>
      <c r="C46" s="27"/>
      <c r="D46" s="28"/>
      <c r="E46" s="59">
        <v>43811.0</v>
      </c>
      <c r="F46" s="3">
        <v>2.98</v>
      </c>
      <c r="G46" s="7"/>
      <c r="H46" s="35" t="s">
        <v>428</v>
      </c>
      <c r="I46" s="27"/>
      <c r="J46" s="28"/>
      <c r="K46" s="59">
        <v>43811.0</v>
      </c>
      <c r="L46" s="49">
        <v>0.05</v>
      </c>
      <c r="M46" s="7"/>
      <c r="O46" s="7"/>
      <c r="P46" s="2"/>
      <c r="Q46" s="7"/>
      <c r="S46" s="7"/>
      <c r="U46" s="7"/>
      <c r="W46" s="7"/>
    </row>
    <row r="47">
      <c r="A47" s="50"/>
      <c r="B47" s="35" t="s">
        <v>429</v>
      </c>
      <c r="C47" s="27"/>
      <c r="D47" s="28"/>
      <c r="E47" s="59">
        <v>43811.0</v>
      </c>
      <c r="F47" s="3">
        <v>6.99</v>
      </c>
      <c r="G47" s="7"/>
      <c r="H47" s="35" t="s">
        <v>430</v>
      </c>
      <c r="I47" s="27"/>
      <c r="J47" s="28"/>
      <c r="K47" s="59">
        <v>43815.0</v>
      </c>
      <c r="L47" s="49">
        <v>8.0</v>
      </c>
      <c r="M47" s="7"/>
      <c r="O47" s="7"/>
      <c r="Q47" s="7"/>
      <c r="S47" s="7"/>
      <c r="U47" s="7"/>
      <c r="W47" s="7"/>
    </row>
    <row r="48">
      <c r="A48" s="50"/>
      <c r="B48" s="35" t="s">
        <v>431</v>
      </c>
      <c r="C48" s="27"/>
      <c r="D48" s="28"/>
      <c r="E48" s="58">
        <v>43811.0</v>
      </c>
      <c r="F48" s="3">
        <v>1.0</v>
      </c>
      <c r="G48" s="7"/>
      <c r="H48" s="35" t="s">
        <v>175</v>
      </c>
      <c r="I48" s="27"/>
      <c r="J48" s="28"/>
      <c r="K48" s="59">
        <v>43816.0</v>
      </c>
      <c r="L48" s="49">
        <v>5.0</v>
      </c>
      <c r="M48" s="7"/>
      <c r="O48" s="7"/>
      <c r="Q48" s="7"/>
      <c r="S48" s="7"/>
      <c r="U48" s="7"/>
      <c r="W48" s="7"/>
    </row>
    <row r="49">
      <c r="A49" s="50"/>
      <c r="B49" s="35" t="s">
        <v>432</v>
      </c>
      <c r="C49" s="27"/>
      <c r="D49" s="28"/>
      <c r="E49" s="58">
        <v>43812.0</v>
      </c>
      <c r="F49" s="3">
        <v>13.0</v>
      </c>
      <c r="G49" s="7"/>
      <c r="H49" s="35" t="s">
        <v>433</v>
      </c>
      <c r="I49" s="27"/>
      <c r="J49" s="28"/>
      <c r="K49" s="58">
        <v>43819.0</v>
      </c>
      <c r="L49" s="49">
        <v>10.3</v>
      </c>
      <c r="M49" s="7"/>
      <c r="O49" s="7"/>
      <c r="Q49" s="7"/>
      <c r="S49" s="7"/>
      <c r="U49" s="7"/>
      <c r="W49" s="7"/>
    </row>
    <row r="50">
      <c r="A50" s="50"/>
      <c r="B50" s="35" t="s">
        <v>427</v>
      </c>
      <c r="C50" s="27"/>
      <c r="D50" s="28"/>
      <c r="E50" s="58">
        <v>43815.0</v>
      </c>
      <c r="F50" s="3">
        <v>2.98</v>
      </c>
      <c r="G50" s="7"/>
      <c r="H50" s="35" t="s">
        <v>430</v>
      </c>
      <c r="I50" s="27"/>
      <c r="J50" s="28"/>
      <c r="K50" s="59">
        <v>43823.0</v>
      </c>
      <c r="L50" s="49">
        <v>8.0</v>
      </c>
      <c r="M50" s="7"/>
      <c r="O50" s="7"/>
      <c r="Q50" s="7"/>
      <c r="S50" s="7"/>
      <c r="U50" s="7"/>
      <c r="W50" s="7"/>
    </row>
    <row r="51">
      <c r="A51" s="50"/>
      <c r="B51" s="35" t="s">
        <v>434</v>
      </c>
      <c r="C51" s="27"/>
      <c r="D51" s="28"/>
      <c r="E51" s="59">
        <v>43816.0</v>
      </c>
      <c r="F51" s="3">
        <f>2*2.98</f>
        <v>5.96</v>
      </c>
      <c r="G51" s="7"/>
      <c r="H51" s="35" t="s">
        <v>435</v>
      </c>
      <c r="I51" s="27"/>
      <c r="J51" s="28"/>
      <c r="K51" s="59">
        <v>43826.0</v>
      </c>
      <c r="L51" s="49">
        <v>10.45</v>
      </c>
      <c r="M51" s="7"/>
      <c r="O51" s="7"/>
      <c r="Q51" s="7"/>
      <c r="S51" s="7"/>
      <c r="U51" s="7"/>
      <c r="W51" s="7"/>
    </row>
    <row r="52">
      <c r="A52" s="50"/>
      <c r="B52" s="35" t="s">
        <v>431</v>
      </c>
      <c r="C52" s="27"/>
      <c r="D52" s="28"/>
      <c r="E52" s="58">
        <v>43816.0</v>
      </c>
      <c r="F52" s="3">
        <v>1.0</v>
      </c>
      <c r="G52" s="7"/>
      <c r="H52" s="52"/>
      <c r="I52" s="27"/>
      <c r="J52" s="28"/>
      <c r="K52" s="60"/>
      <c r="L52" s="51"/>
      <c r="M52" s="7"/>
      <c r="O52" s="7"/>
      <c r="Q52" s="7"/>
      <c r="S52" s="7"/>
      <c r="U52" s="7"/>
      <c r="W52" s="7"/>
    </row>
    <row r="53">
      <c r="A53" s="50"/>
      <c r="B53" s="35" t="s">
        <v>436</v>
      </c>
      <c r="C53" s="27"/>
      <c r="D53" s="28"/>
      <c r="E53" s="58">
        <v>43816.0</v>
      </c>
      <c r="F53" s="3">
        <v>2.0</v>
      </c>
      <c r="G53" s="7"/>
      <c r="H53" s="52"/>
      <c r="I53" s="27"/>
      <c r="J53" s="28"/>
      <c r="K53" s="60"/>
      <c r="L53" s="51"/>
      <c r="M53" s="7"/>
      <c r="O53" s="7"/>
      <c r="Q53" s="7"/>
      <c r="S53" s="7"/>
      <c r="U53" s="7"/>
      <c r="W53" s="7"/>
    </row>
    <row r="54">
      <c r="A54" s="50"/>
      <c r="B54" s="35" t="s">
        <v>437</v>
      </c>
      <c r="C54" s="27"/>
      <c r="D54" s="28"/>
      <c r="E54" s="58">
        <v>43818.0</v>
      </c>
      <c r="F54" s="3">
        <v>14.0</v>
      </c>
      <c r="G54" s="7"/>
      <c r="H54" s="52"/>
      <c r="I54" s="27"/>
      <c r="J54" s="28"/>
      <c r="K54" s="60"/>
      <c r="L54" s="51"/>
      <c r="M54" s="7"/>
      <c r="O54" s="7"/>
      <c r="Q54" s="7"/>
      <c r="S54" s="7"/>
      <c r="U54" s="7"/>
      <c r="W54" s="7"/>
    </row>
    <row r="55">
      <c r="A55" s="50"/>
      <c r="B55" s="35" t="s">
        <v>198</v>
      </c>
      <c r="C55" s="27"/>
      <c r="D55" s="28"/>
      <c r="E55" s="59">
        <v>43818.0</v>
      </c>
      <c r="F55" s="3">
        <v>2.95</v>
      </c>
      <c r="G55" s="7"/>
      <c r="H55" s="52"/>
      <c r="I55" s="27"/>
      <c r="J55" s="28"/>
      <c r="K55" s="60"/>
      <c r="L55" s="51"/>
      <c r="M55" s="7"/>
      <c r="O55" s="7"/>
      <c r="Q55" s="7"/>
      <c r="S55" s="7"/>
      <c r="U55" s="7"/>
      <c r="W55" s="7"/>
    </row>
    <row r="56">
      <c r="A56" s="50"/>
      <c r="B56" s="35" t="s">
        <v>57</v>
      </c>
      <c r="C56" s="27"/>
      <c r="D56" s="28"/>
      <c r="E56" s="59">
        <v>43818.0</v>
      </c>
      <c r="F56" s="3">
        <v>23.0</v>
      </c>
      <c r="G56" s="7"/>
      <c r="H56" s="52"/>
      <c r="I56" s="27"/>
      <c r="J56" s="28"/>
      <c r="K56" s="60"/>
      <c r="L56" s="51"/>
      <c r="M56" s="7"/>
      <c r="O56" s="7"/>
      <c r="Q56" s="7"/>
      <c r="S56" s="7"/>
      <c r="U56" s="7"/>
      <c r="W56" s="7"/>
    </row>
    <row r="57">
      <c r="A57" s="50"/>
      <c r="B57" s="35" t="s">
        <v>438</v>
      </c>
      <c r="C57" s="27"/>
      <c r="D57" s="28"/>
      <c r="E57" s="59">
        <v>43820.0</v>
      </c>
      <c r="F57" s="3">
        <v>6.3</v>
      </c>
      <c r="G57" s="7"/>
      <c r="H57" s="52"/>
      <c r="I57" s="27"/>
      <c r="J57" s="28"/>
      <c r="K57" s="60"/>
      <c r="L57" s="51"/>
      <c r="M57" s="7"/>
      <c r="O57" s="7"/>
      <c r="Q57" s="7"/>
      <c r="S57" s="7"/>
      <c r="U57" s="7"/>
      <c r="W57" s="7"/>
    </row>
    <row r="58">
      <c r="A58" s="50"/>
      <c r="B58" s="35" t="s">
        <v>439</v>
      </c>
      <c r="C58" s="27"/>
      <c r="D58" s="28"/>
      <c r="E58" s="59">
        <v>43826.0</v>
      </c>
      <c r="F58" s="3">
        <v>19.9</v>
      </c>
      <c r="G58" s="7"/>
      <c r="H58" s="52"/>
      <c r="I58" s="27"/>
      <c r="J58" s="28"/>
      <c r="K58" s="60"/>
      <c r="L58" s="51"/>
      <c r="M58" s="7"/>
      <c r="O58" s="7"/>
      <c r="Q58" s="7"/>
      <c r="S58" s="7"/>
      <c r="U58" s="7"/>
      <c r="W58" s="7"/>
    </row>
    <row r="59">
      <c r="A59" s="50"/>
      <c r="B59" s="35" t="s">
        <v>440</v>
      </c>
      <c r="C59" s="27"/>
      <c r="D59" s="28"/>
      <c r="E59" s="59">
        <v>43827.0</v>
      </c>
      <c r="F59" s="3">
        <v>25.0</v>
      </c>
      <c r="G59" s="7"/>
      <c r="H59" s="52"/>
      <c r="I59" s="27"/>
      <c r="J59" s="28"/>
      <c r="K59" s="60"/>
      <c r="L59" s="51"/>
      <c r="M59" s="7"/>
      <c r="O59" s="7"/>
      <c r="Q59" s="7"/>
      <c r="S59" s="7"/>
      <c r="U59" s="7"/>
      <c r="W59" s="7"/>
    </row>
    <row r="60">
      <c r="A60" s="50"/>
      <c r="B60" s="35" t="s">
        <v>441</v>
      </c>
      <c r="C60" s="27"/>
      <c r="D60" s="28"/>
      <c r="E60" s="59">
        <v>43828.0</v>
      </c>
      <c r="F60" s="3">
        <v>2.5</v>
      </c>
      <c r="G60" s="7"/>
      <c r="H60" s="52"/>
      <c r="I60" s="27"/>
      <c r="J60" s="28"/>
      <c r="K60" s="60"/>
      <c r="L60" s="51"/>
      <c r="M60" s="7"/>
      <c r="O60" s="7"/>
      <c r="Q60" s="7"/>
      <c r="S60" s="7"/>
      <c r="U60" s="7"/>
      <c r="W60" s="7"/>
    </row>
    <row r="61">
      <c r="A61" s="50"/>
      <c r="B61" s="35"/>
      <c r="C61" s="27"/>
      <c r="D61" s="28"/>
      <c r="E61" s="59"/>
      <c r="F61" s="3"/>
      <c r="G61" s="7"/>
      <c r="H61" s="52"/>
      <c r="I61" s="27"/>
      <c r="J61" s="28"/>
      <c r="K61" s="60"/>
      <c r="L61" s="51"/>
      <c r="M61" s="7"/>
      <c r="O61" s="7"/>
      <c r="Q61" s="7"/>
      <c r="S61" s="7"/>
      <c r="U61" s="7"/>
      <c r="W61" s="7"/>
    </row>
    <row r="62">
      <c r="A62" s="50"/>
      <c r="B62" s="35"/>
      <c r="C62" s="27"/>
      <c r="D62" s="28"/>
      <c r="E62" s="59"/>
      <c r="F62" s="3"/>
      <c r="G62" s="7"/>
      <c r="H62" s="52"/>
      <c r="I62" s="27"/>
      <c r="J62" s="28"/>
      <c r="K62" s="60"/>
      <c r="L62" s="51"/>
      <c r="M62" s="7"/>
      <c r="O62" s="7"/>
      <c r="Q62" s="7"/>
      <c r="S62" s="7"/>
      <c r="U62" s="7"/>
      <c r="W62" s="7"/>
    </row>
    <row r="63">
      <c r="A63" s="50"/>
      <c r="B63" s="35"/>
      <c r="C63" s="27"/>
      <c r="D63" s="28"/>
      <c r="E63" s="59"/>
      <c r="F63" s="3"/>
      <c r="G63" s="7"/>
      <c r="H63" s="52"/>
      <c r="I63" s="27"/>
      <c r="J63" s="28"/>
      <c r="K63" s="60"/>
      <c r="L63" s="51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7"/>
      <c r="D64" s="28"/>
      <c r="E64" s="60"/>
      <c r="F64" s="6">
        <f>SUM(F41:F63)</f>
        <v>357.11</v>
      </c>
      <c r="G64" s="7"/>
      <c r="H64" s="52"/>
      <c r="I64" s="27"/>
      <c r="J64" s="28"/>
      <c r="K64" s="60"/>
      <c r="L64" s="6">
        <f>SUM(L41:L55)</f>
        <v>62.61</v>
      </c>
      <c r="M64" s="7"/>
      <c r="O64" s="7"/>
      <c r="Q64" s="7"/>
      <c r="S64" s="7"/>
      <c r="U64" s="7"/>
      <c r="W64" s="7"/>
    </row>
    <row r="65">
      <c r="A65" s="50"/>
      <c r="B65" s="50"/>
      <c r="C65" s="7"/>
      <c r="E65" s="62"/>
      <c r="F65" s="7"/>
      <c r="G65" s="7"/>
      <c r="I65" s="7"/>
      <c r="K65" s="62"/>
      <c r="L65" s="7"/>
      <c r="M65" s="7"/>
      <c r="O65" s="7"/>
      <c r="Q65" s="7"/>
      <c r="S65" s="7"/>
      <c r="U65" s="7"/>
      <c r="W65" s="7"/>
    </row>
    <row r="66">
      <c r="A66" s="25"/>
      <c r="B66" s="26" t="s">
        <v>24</v>
      </c>
      <c r="C66" s="27"/>
      <c r="D66" s="27"/>
      <c r="E66" s="27"/>
      <c r="F66" s="28"/>
      <c r="G66" s="7"/>
      <c r="H66" s="26" t="s">
        <v>19</v>
      </c>
      <c r="I66" s="27"/>
      <c r="J66" s="27"/>
      <c r="K66" s="27"/>
      <c r="L66" s="28"/>
      <c r="M66" s="7"/>
      <c r="O66" s="7"/>
      <c r="Q66" s="7"/>
      <c r="S66" s="7"/>
      <c r="U66" s="7"/>
      <c r="W66" s="7"/>
    </row>
    <row r="67">
      <c r="A67" s="25"/>
      <c r="B67" s="26" t="s">
        <v>33</v>
      </c>
      <c r="C67" s="27"/>
      <c r="D67" s="28"/>
      <c r="E67" s="34" t="s">
        <v>34</v>
      </c>
      <c r="F67" s="31" t="s">
        <v>35</v>
      </c>
      <c r="G67" s="7"/>
      <c r="H67" s="26" t="s">
        <v>33</v>
      </c>
      <c r="I67" s="27"/>
      <c r="J67" s="28"/>
      <c r="K67" s="34" t="s">
        <v>34</v>
      </c>
      <c r="L67" s="31" t="s">
        <v>35</v>
      </c>
      <c r="M67" s="7"/>
      <c r="O67" s="7"/>
      <c r="Q67" s="7"/>
      <c r="S67" s="7"/>
      <c r="U67" s="7"/>
      <c r="W67" s="7"/>
    </row>
    <row r="68">
      <c r="A68" s="2"/>
      <c r="B68" s="35" t="s">
        <v>82</v>
      </c>
      <c r="C68" s="27"/>
      <c r="D68" s="28"/>
      <c r="E68" s="58">
        <v>43800.0</v>
      </c>
      <c r="F68" s="49">
        <v>20.0</v>
      </c>
      <c r="G68" s="7"/>
      <c r="H68" s="35"/>
      <c r="I68" s="27"/>
      <c r="J68" s="28"/>
      <c r="K68" s="59"/>
      <c r="L68" s="3"/>
      <c r="M68" s="7"/>
      <c r="O68" s="7"/>
      <c r="Q68" s="7"/>
      <c r="S68" s="7"/>
      <c r="U68" s="7"/>
      <c r="W68" s="7"/>
    </row>
    <row r="69">
      <c r="A69" s="50"/>
      <c r="B69" s="35"/>
      <c r="C69" s="27"/>
      <c r="D69" s="28"/>
      <c r="E69" s="59"/>
      <c r="F69" s="3"/>
      <c r="G69" s="7"/>
      <c r="H69" s="35"/>
      <c r="I69" s="27"/>
      <c r="J69" s="28"/>
      <c r="K69" s="59"/>
      <c r="L69" s="3"/>
      <c r="M69" s="7"/>
      <c r="O69" s="7"/>
      <c r="Q69" s="7"/>
      <c r="S69" s="7"/>
      <c r="U69" s="7"/>
      <c r="W69" s="7"/>
    </row>
    <row r="70">
      <c r="A70" s="50"/>
      <c r="B70" s="53"/>
      <c r="C70" s="27"/>
      <c r="D70" s="28"/>
      <c r="E70" s="60"/>
      <c r="F70" s="6"/>
      <c r="G70" s="7"/>
      <c r="H70" s="35"/>
      <c r="I70" s="27"/>
      <c r="J70" s="28"/>
      <c r="K70" s="59"/>
      <c r="L70" s="3"/>
      <c r="M70" s="7"/>
      <c r="O70" s="7"/>
      <c r="Q70" s="7"/>
      <c r="S70" s="7"/>
      <c r="U70" s="7"/>
      <c r="W70" s="7"/>
    </row>
    <row r="71">
      <c r="A71" s="50"/>
      <c r="B71" s="53"/>
      <c r="C71" s="27"/>
      <c r="D71" s="28"/>
      <c r="E71" s="60"/>
      <c r="F71" s="6"/>
      <c r="G71" s="7"/>
      <c r="H71" s="35"/>
      <c r="I71" s="27"/>
      <c r="J71" s="28"/>
      <c r="K71" s="59"/>
      <c r="L71" s="3"/>
      <c r="M71" s="7"/>
      <c r="O71" s="7"/>
      <c r="Q71" s="7"/>
      <c r="S71" s="7"/>
      <c r="U71" s="7"/>
      <c r="W71" s="7"/>
    </row>
    <row r="72">
      <c r="A72" s="50"/>
      <c r="B72" s="53"/>
      <c r="C72" s="27"/>
      <c r="D72" s="28"/>
      <c r="E72" s="60"/>
      <c r="F72" s="6"/>
      <c r="G72" s="7"/>
      <c r="H72" s="53"/>
      <c r="I72" s="27"/>
      <c r="J72" s="28"/>
      <c r="K72" s="60"/>
      <c r="L72" s="6"/>
      <c r="M72" s="7"/>
      <c r="O72" s="7"/>
      <c r="Q72" s="7"/>
      <c r="S72" s="7"/>
      <c r="U72" s="7"/>
      <c r="W72" s="7"/>
    </row>
    <row r="73">
      <c r="A73" s="50"/>
      <c r="B73" s="53"/>
      <c r="C73" s="27"/>
      <c r="D73" s="28"/>
      <c r="E73" s="60"/>
      <c r="F73" s="6"/>
      <c r="G73" s="7"/>
      <c r="H73" s="53"/>
      <c r="I73" s="27"/>
      <c r="J73" s="28"/>
      <c r="K73" s="60"/>
      <c r="L73" s="6"/>
      <c r="M73" s="7"/>
      <c r="O73" s="7"/>
      <c r="Q73" s="7"/>
      <c r="S73" s="7"/>
      <c r="U73" s="7"/>
      <c r="W73" s="7"/>
    </row>
    <row r="74">
      <c r="A74" s="50"/>
      <c r="B74" s="53"/>
      <c r="C74" s="27"/>
      <c r="D74" s="28"/>
      <c r="E74" s="60"/>
      <c r="F74" s="6"/>
      <c r="G74" s="7"/>
      <c r="H74" s="53"/>
      <c r="I74" s="27"/>
      <c r="J74" s="28"/>
      <c r="K74" s="60"/>
      <c r="L74" s="6"/>
      <c r="M74" s="7">
        <f>94/3</f>
        <v>31.33333333</v>
      </c>
      <c r="O74" s="7"/>
      <c r="Q74" s="7"/>
      <c r="S74" s="7"/>
      <c r="U74" s="7"/>
      <c r="W74" s="7"/>
    </row>
    <row r="75">
      <c r="A75" s="2"/>
      <c r="B75" s="35" t="s">
        <v>17</v>
      </c>
      <c r="C75" s="27"/>
      <c r="D75" s="28"/>
      <c r="E75" s="60"/>
      <c r="F75" s="6">
        <f>SUM(F68:F74)</f>
        <v>20</v>
      </c>
      <c r="G75" s="7"/>
      <c r="H75" s="35" t="s">
        <v>17</v>
      </c>
      <c r="I75" s="27"/>
      <c r="J75" s="28"/>
      <c r="K75" s="60"/>
      <c r="L75" s="6">
        <f>SUM(L68:L74)</f>
        <v>0</v>
      </c>
      <c r="M75" s="7"/>
      <c r="O75" s="7"/>
      <c r="Q75" s="7"/>
      <c r="S75" s="7"/>
      <c r="U75" s="7"/>
      <c r="W75" s="7"/>
    </row>
    <row r="76">
      <c r="E76" s="62"/>
      <c r="F76" s="7"/>
      <c r="G76" s="7"/>
      <c r="I76" s="7"/>
      <c r="K76" s="62"/>
      <c r="L76" s="7"/>
      <c r="M76" s="7"/>
      <c r="O76" s="7"/>
      <c r="Q76" s="7"/>
      <c r="S76" s="7"/>
      <c r="U76" s="7"/>
      <c r="W76" s="7"/>
    </row>
    <row r="77">
      <c r="A77" s="25"/>
      <c r="B77" s="26" t="s">
        <v>21</v>
      </c>
      <c r="C77" s="27"/>
      <c r="D77" s="27"/>
      <c r="E77" s="27"/>
      <c r="F77" s="28"/>
      <c r="G77" s="7"/>
      <c r="H77" s="26" t="s">
        <v>20</v>
      </c>
      <c r="I77" s="27"/>
      <c r="J77" s="27"/>
      <c r="K77" s="27"/>
      <c r="L77" s="28"/>
      <c r="M77" s="7"/>
      <c r="O77" s="7"/>
      <c r="Q77" s="7"/>
      <c r="S77" s="7"/>
      <c r="U77" s="7"/>
      <c r="W77" s="7"/>
    </row>
    <row r="78">
      <c r="A78" s="25"/>
      <c r="B78" s="26" t="s">
        <v>33</v>
      </c>
      <c r="C78" s="27"/>
      <c r="D78" s="28"/>
      <c r="E78" s="34" t="s">
        <v>34</v>
      </c>
      <c r="F78" s="31" t="s">
        <v>35</v>
      </c>
      <c r="G78" s="7"/>
      <c r="H78" s="26" t="s">
        <v>33</v>
      </c>
      <c r="I78" s="27"/>
      <c r="J78" s="28"/>
      <c r="K78" s="34" t="s">
        <v>34</v>
      </c>
      <c r="L78" s="31" t="s">
        <v>35</v>
      </c>
      <c r="M78" s="7"/>
      <c r="O78" s="7"/>
      <c r="Q78" s="7"/>
      <c r="S78" s="7"/>
      <c r="U78" s="7"/>
      <c r="W78" s="7"/>
    </row>
    <row r="79">
      <c r="A79" s="2"/>
      <c r="B79" s="35" t="s">
        <v>164</v>
      </c>
      <c r="C79" s="27"/>
      <c r="D79" s="28"/>
      <c r="E79" s="4" t="s">
        <v>442</v>
      </c>
      <c r="F79" s="3">
        <v>24.9</v>
      </c>
      <c r="G79" s="7"/>
      <c r="H79" s="35" t="s">
        <v>125</v>
      </c>
      <c r="I79" s="27"/>
      <c r="J79" s="28"/>
      <c r="K79" s="59">
        <v>43811.0</v>
      </c>
      <c r="L79" s="3">
        <v>52.39</v>
      </c>
      <c r="M79" s="7"/>
      <c r="O79" s="7"/>
      <c r="Q79" s="7"/>
      <c r="S79" s="7"/>
      <c r="U79" s="7"/>
      <c r="W79" s="7"/>
    </row>
    <row r="80">
      <c r="A80" s="50"/>
      <c r="B80" s="35"/>
      <c r="C80" s="27"/>
      <c r="D80" s="28"/>
      <c r="E80" s="59"/>
      <c r="F80" s="3"/>
      <c r="G80" s="7"/>
      <c r="H80" s="35"/>
      <c r="I80" s="27"/>
      <c r="J80" s="28"/>
      <c r="K80" s="59"/>
      <c r="L80" s="3"/>
      <c r="M80" s="7"/>
      <c r="O80" s="7"/>
      <c r="Q80" s="7"/>
      <c r="S80" s="7"/>
      <c r="U80" s="7"/>
      <c r="W80" s="7"/>
    </row>
    <row r="81">
      <c r="A81" s="50"/>
      <c r="B81" s="53"/>
      <c r="C81" s="27"/>
      <c r="D81" s="28"/>
      <c r="E81" s="60"/>
      <c r="F81" s="6"/>
      <c r="G81" s="7"/>
      <c r="H81" s="53"/>
      <c r="I81" s="27"/>
      <c r="J81" s="28"/>
      <c r="K81" s="60"/>
      <c r="L81" s="6"/>
      <c r="M81" s="7"/>
      <c r="O81" s="7"/>
      <c r="Q81" s="7"/>
      <c r="S81" s="7"/>
      <c r="U81" s="7"/>
      <c r="W81" s="7"/>
    </row>
    <row r="82">
      <c r="A82" s="50"/>
      <c r="B82" s="53"/>
      <c r="C82" s="27"/>
      <c r="D82" s="28"/>
      <c r="E82" s="60"/>
      <c r="F82" s="6"/>
      <c r="G82" s="7"/>
      <c r="H82" s="53"/>
      <c r="I82" s="27"/>
      <c r="J82" s="28"/>
      <c r="K82" s="60"/>
      <c r="L82" s="6"/>
      <c r="M82" s="7"/>
      <c r="O82" s="7"/>
      <c r="Q82" s="7"/>
      <c r="S82" s="7"/>
      <c r="U82" s="7"/>
      <c r="W82" s="7"/>
    </row>
    <row r="83">
      <c r="A83" s="50"/>
      <c r="B83" s="53"/>
      <c r="C83" s="27"/>
      <c r="D83" s="28"/>
      <c r="E83" s="60"/>
      <c r="F83" s="6"/>
      <c r="G83" s="7"/>
      <c r="H83" s="53"/>
      <c r="I83" s="27"/>
      <c r="J83" s="28"/>
      <c r="K83" s="60"/>
      <c r="L83" s="6"/>
      <c r="M83" s="7"/>
      <c r="O83" s="7"/>
      <c r="Q83" s="7"/>
      <c r="S83" s="7"/>
      <c r="U83" s="7"/>
      <c r="W83" s="7"/>
    </row>
    <row r="84">
      <c r="A84" s="50"/>
      <c r="B84" s="53"/>
      <c r="C84" s="27"/>
      <c r="D84" s="28"/>
      <c r="E84" s="60"/>
      <c r="F84" s="6"/>
      <c r="G84" s="7"/>
      <c r="H84" s="53"/>
      <c r="I84" s="27"/>
      <c r="J84" s="28"/>
      <c r="K84" s="60"/>
      <c r="L84" s="6"/>
      <c r="M84" s="7"/>
      <c r="O84" s="7"/>
      <c r="Q84" s="7"/>
      <c r="S84" s="7"/>
      <c r="U84" s="7"/>
      <c r="W84" s="7"/>
    </row>
    <row r="85">
      <c r="A85" s="50"/>
      <c r="B85" s="53"/>
      <c r="C85" s="27"/>
      <c r="D85" s="28"/>
      <c r="E85" s="60"/>
      <c r="F85" s="6"/>
      <c r="G85" s="7"/>
      <c r="H85" s="53"/>
      <c r="I85" s="27"/>
      <c r="J85" s="28"/>
      <c r="K85" s="60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7"/>
      <c r="D86" s="28"/>
      <c r="E86" s="60"/>
      <c r="F86" s="6">
        <f>SUM(F79:F85)</f>
        <v>24.9</v>
      </c>
      <c r="G86" s="7"/>
      <c r="H86" s="35" t="s">
        <v>17</v>
      </c>
      <c r="I86" s="27"/>
      <c r="J86" s="28"/>
      <c r="K86" s="60"/>
      <c r="L86" s="6">
        <f>SUM(L79:L85)</f>
        <v>52.39</v>
      </c>
      <c r="M86" s="7"/>
      <c r="O86" s="7"/>
      <c r="Q86" s="7"/>
      <c r="S86" s="7"/>
      <c r="U86" s="7"/>
      <c r="W86" s="7"/>
    </row>
    <row r="87">
      <c r="E87" s="62"/>
      <c r="F87" s="7"/>
      <c r="G87" s="7"/>
      <c r="I87" s="7"/>
      <c r="K87" s="62"/>
      <c r="L87" s="7"/>
      <c r="M87" s="7"/>
      <c r="O87" s="7"/>
      <c r="Q87" s="7"/>
      <c r="S87" s="7"/>
      <c r="U87" s="7"/>
      <c r="W87" s="7"/>
    </row>
    <row r="88">
      <c r="A88" s="25"/>
      <c r="B88" s="26" t="s">
        <v>22</v>
      </c>
      <c r="C88" s="27"/>
      <c r="D88" s="27"/>
      <c r="E88" s="27"/>
      <c r="F88" s="28"/>
      <c r="G88" s="7"/>
      <c r="H88" s="26" t="s">
        <v>248</v>
      </c>
      <c r="I88" s="27"/>
      <c r="J88" s="27"/>
      <c r="K88" s="27"/>
      <c r="L88" s="28"/>
      <c r="M88" s="7"/>
      <c r="O88" s="7"/>
      <c r="Q88" s="7"/>
      <c r="S88" s="7"/>
      <c r="U88" s="7"/>
      <c r="W88" s="7"/>
    </row>
    <row r="89">
      <c r="A89" s="25"/>
      <c r="B89" s="26" t="s">
        <v>33</v>
      </c>
      <c r="C89" s="27"/>
      <c r="D89" s="28"/>
      <c r="E89" s="34" t="s">
        <v>34</v>
      </c>
      <c r="F89" s="31" t="s">
        <v>35</v>
      </c>
      <c r="G89" s="7"/>
      <c r="H89" s="26" t="s">
        <v>33</v>
      </c>
      <c r="I89" s="27"/>
      <c r="J89" s="28"/>
      <c r="K89" s="34" t="s">
        <v>34</v>
      </c>
      <c r="L89" s="31" t="s">
        <v>35</v>
      </c>
      <c r="M89" s="7"/>
      <c r="O89" s="7"/>
      <c r="Q89" s="7"/>
      <c r="S89" s="7"/>
      <c r="U89" s="7"/>
      <c r="W89" s="7"/>
    </row>
    <row r="90">
      <c r="A90" s="2"/>
      <c r="B90" s="35" t="s">
        <v>443</v>
      </c>
      <c r="C90" s="27"/>
      <c r="D90" s="28"/>
      <c r="E90" s="59">
        <v>43819.0</v>
      </c>
      <c r="F90" s="3">
        <v>36.0</v>
      </c>
      <c r="G90" s="7"/>
      <c r="H90" s="35"/>
      <c r="I90" s="27"/>
      <c r="J90" s="28"/>
      <c r="K90" s="59"/>
      <c r="L90" s="3"/>
      <c r="M90" s="7"/>
      <c r="O90" s="7"/>
      <c r="Q90" s="7"/>
      <c r="S90" s="7"/>
      <c r="U90" s="7"/>
      <c r="W90" s="7"/>
    </row>
    <row r="91">
      <c r="A91" s="50"/>
      <c r="B91" s="53"/>
      <c r="C91" s="27"/>
      <c r="D91" s="28"/>
      <c r="E91" s="60"/>
      <c r="F91" s="6"/>
      <c r="G91" s="7"/>
      <c r="H91" s="35"/>
      <c r="I91" s="27"/>
      <c r="J91" s="28"/>
      <c r="K91" s="59"/>
      <c r="L91" s="3"/>
      <c r="M91" s="7"/>
      <c r="O91" s="7"/>
      <c r="Q91" s="7"/>
      <c r="S91" s="7"/>
      <c r="U91" s="7"/>
      <c r="W91" s="7"/>
    </row>
    <row r="92">
      <c r="A92" s="50"/>
      <c r="B92" s="53"/>
      <c r="C92" s="27"/>
      <c r="D92" s="28"/>
      <c r="E92" s="60"/>
      <c r="F92" s="6"/>
      <c r="G92" s="7"/>
      <c r="H92" s="35"/>
      <c r="I92" s="27"/>
      <c r="J92" s="28"/>
      <c r="K92" s="59"/>
      <c r="L92" s="3"/>
      <c r="M92" s="7"/>
      <c r="O92" s="7"/>
      <c r="Q92" s="7"/>
      <c r="S92" s="7"/>
      <c r="U92" s="7"/>
      <c r="W92" s="7"/>
    </row>
    <row r="93">
      <c r="A93" s="50"/>
      <c r="B93" s="53"/>
      <c r="C93" s="27"/>
      <c r="D93" s="28"/>
      <c r="E93" s="60"/>
      <c r="F93" s="6"/>
      <c r="G93" s="7"/>
      <c r="H93" s="35"/>
      <c r="I93" s="27"/>
      <c r="J93" s="28"/>
      <c r="K93" s="59"/>
      <c r="L93" s="3"/>
      <c r="M93" s="7"/>
      <c r="O93" s="7"/>
      <c r="Q93" s="7"/>
      <c r="S93" s="7"/>
      <c r="U93" s="7"/>
      <c r="W93" s="7"/>
    </row>
    <row r="94">
      <c r="A94" s="50"/>
      <c r="B94" s="53"/>
      <c r="C94" s="27"/>
      <c r="D94" s="28"/>
      <c r="E94" s="60"/>
      <c r="F94" s="6"/>
      <c r="G94" s="7"/>
      <c r="H94" s="35"/>
      <c r="I94" s="27"/>
      <c r="J94" s="28"/>
      <c r="K94" s="59"/>
      <c r="L94" s="3"/>
      <c r="M94" s="7"/>
      <c r="O94" s="7"/>
      <c r="Q94" s="7"/>
      <c r="S94" s="7"/>
      <c r="U94" s="7"/>
      <c r="W94" s="7"/>
    </row>
    <row r="95">
      <c r="A95" s="50"/>
      <c r="B95" s="53"/>
      <c r="C95" s="27"/>
      <c r="D95" s="28"/>
      <c r="E95" s="60"/>
      <c r="F95" s="6"/>
      <c r="G95" s="7"/>
      <c r="H95" s="35"/>
      <c r="I95" s="27"/>
      <c r="J95" s="28"/>
      <c r="K95" s="59"/>
      <c r="L95" s="3"/>
      <c r="M95" s="7"/>
      <c r="O95" s="7"/>
      <c r="Q95" s="7"/>
      <c r="S95" s="7"/>
      <c r="U95" s="7"/>
      <c r="W95" s="7"/>
    </row>
    <row r="96">
      <c r="A96" s="50"/>
      <c r="B96" s="53"/>
      <c r="C96" s="27"/>
      <c r="D96" s="28"/>
      <c r="E96" s="60"/>
      <c r="F96" s="6"/>
      <c r="G96" s="7"/>
      <c r="H96" s="35"/>
      <c r="I96" s="27"/>
      <c r="J96" s="28"/>
      <c r="K96" s="58"/>
      <c r="L96" s="3"/>
      <c r="M96" s="7"/>
      <c r="O96" s="7"/>
      <c r="Q96" s="7"/>
      <c r="S96" s="7"/>
      <c r="U96" s="7"/>
      <c r="W96" s="7"/>
    </row>
    <row r="97">
      <c r="A97" s="50"/>
      <c r="B97" s="53"/>
      <c r="C97" s="27"/>
      <c r="D97" s="28"/>
      <c r="E97" s="60"/>
      <c r="F97" s="6"/>
      <c r="G97" s="7"/>
      <c r="H97" s="35"/>
      <c r="I97" s="27"/>
      <c r="J97" s="28"/>
      <c r="K97" s="59"/>
      <c r="L97" s="3"/>
      <c r="M97" s="7"/>
      <c r="O97" s="7"/>
      <c r="Q97" s="7"/>
      <c r="S97" s="7"/>
      <c r="U97" s="7"/>
      <c r="W97" s="7"/>
    </row>
    <row r="98">
      <c r="A98" s="50"/>
      <c r="B98" s="53"/>
      <c r="C98" s="27"/>
      <c r="D98" s="28"/>
      <c r="E98" s="60"/>
      <c r="F98" s="6"/>
      <c r="G98" s="7"/>
      <c r="H98" s="35"/>
      <c r="I98" s="27"/>
      <c r="J98" s="28"/>
      <c r="K98" s="59"/>
      <c r="L98" s="3"/>
      <c r="M98" s="7"/>
      <c r="O98" s="7"/>
      <c r="Q98" s="7"/>
      <c r="S98" s="7"/>
      <c r="U98" s="7"/>
      <c r="W98" s="7"/>
    </row>
    <row r="99">
      <c r="A99" s="50"/>
      <c r="B99" s="53"/>
      <c r="C99" s="27"/>
      <c r="D99" s="28"/>
      <c r="E99" s="60"/>
      <c r="F99" s="6"/>
      <c r="G99" s="7"/>
      <c r="H99" s="35"/>
      <c r="I99" s="27"/>
      <c r="J99" s="28"/>
      <c r="K99" s="58"/>
      <c r="L99" s="3"/>
      <c r="M99" s="7"/>
      <c r="O99" s="7"/>
      <c r="Q99" s="7"/>
      <c r="S99" s="7"/>
      <c r="U99" s="7"/>
      <c r="W99" s="7"/>
    </row>
    <row r="100">
      <c r="A100" s="50"/>
      <c r="B100" s="53"/>
      <c r="C100" s="27"/>
      <c r="D100" s="28"/>
      <c r="E100" s="60"/>
      <c r="F100" s="6"/>
      <c r="G100" s="7"/>
      <c r="H100" s="35"/>
      <c r="I100" s="27"/>
      <c r="J100" s="28"/>
      <c r="K100" s="58"/>
      <c r="L100" s="3"/>
      <c r="M100" s="7"/>
      <c r="O100" s="7"/>
      <c r="Q100" s="7"/>
      <c r="S100" s="7"/>
      <c r="U100" s="7"/>
      <c r="W100" s="7"/>
    </row>
    <row r="101">
      <c r="A101" s="50"/>
      <c r="B101" s="53"/>
      <c r="C101" s="27"/>
      <c r="D101" s="28"/>
      <c r="E101" s="60"/>
      <c r="F101" s="6"/>
      <c r="G101" s="7"/>
      <c r="H101" s="35"/>
      <c r="I101" s="27"/>
      <c r="J101" s="28"/>
      <c r="K101" s="58"/>
      <c r="L101" s="3"/>
      <c r="M101" s="7"/>
      <c r="O101" s="7"/>
      <c r="Q101" s="7"/>
      <c r="S101" s="7"/>
      <c r="U101" s="7"/>
      <c r="W101" s="7"/>
    </row>
    <row r="102">
      <c r="A102" s="50"/>
      <c r="B102" s="53"/>
      <c r="C102" s="27"/>
      <c r="D102" s="28"/>
      <c r="E102" s="60"/>
      <c r="F102" s="6"/>
      <c r="G102" s="7"/>
      <c r="H102" s="35"/>
      <c r="I102" s="27"/>
      <c r="J102" s="28"/>
      <c r="K102" s="58"/>
      <c r="L102" s="3"/>
      <c r="M102" s="7"/>
      <c r="O102" s="7"/>
      <c r="Q102" s="7"/>
      <c r="S102" s="7"/>
      <c r="U102" s="7"/>
      <c r="W102" s="7"/>
    </row>
    <row r="103">
      <c r="A103" s="50"/>
      <c r="B103" s="53"/>
      <c r="C103" s="27"/>
      <c r="D103" s="28"/>
      <c r="E103" s="60"/>
      <c r="F103" s="6"/>
      <c r="G103" s="7"/>
      <c r="H103" s="35"/>
      <c r="I103" s="27"/>
      <c r="J103" s="28"/>
      <c r="K103" s="58"/>
      <c r="L103" s="3"/>
      <c r="M103" s="7"/>
      <c r="O103" s="7"/>
      <c r="Q103" s="7"/>
      <c r="S103" s="7"/>
      <c r="U103" s="7"/>
      <c r="W103" s="7"/>
    </row>
    <row r="104">
      <c r="A104" s="50"/>
      <c r="B104" s="53"/>
      <c r="C104" s="27"/>
      <c r="D104" s="28"/>
      <c r="E104" s="60"/>
      <c r="F104" s="6"/>
      <c r="G104" s="7"/>
      <c r="H104" s="35"/>
      <c r="I104" s="27"/>
      <c r="J104" s="28"/>
      <c r="K104" s="59"/>
      <c r="L104" s="3"/>
      <c r="M104" s="7"/>
      <c r="O104" s="7"/>
      <c r="Q104" s="7"/>
      <c r="S104" s="7"/>
      <c r="U104" s="7"/>
      <c r="W104" s="7"/>
    </row>
    <row r="105">
      <c r="A105" s="50"/>
      <c r="B105" s="53"/>
      <c r="C105" s="27"/>
      <c r="D105" s="28"/>
      <c r="E105" s="60"/>
      <c r="F105" s="6"/>
      <c r="G105" s="7"/>
      <c r="H105" s="35"/>
      <c r="I105" s="27"/>
      <c r="J105" s="28"/>
      <c r="K105" s="59"/>
      <c r="L105" s="3"/>
      <c r="M105" s="7"/>
      <c r="O105" s="7"/>
      <c r="Q105" s="7"/>
      <c r="S105" s="7"/>
      <c r="U105" s="7"/>
      <c r="W105" s="7"/>
    </row>
    <row r="106">
      <c r="A106" s="50"/>
      <c r="B106" s="53"/>
      <c r="C106" s="27"/>
      <c r="D106" s="28"/>
      <c r="E106" s="60"/>
      <c r="F106" s="6"/>
      <c r="G106" s="7"/>
      <c r="H106" s="35"/>
      <c r="I106" s="27"/>
      <c r="J106" s="28"/>
      <c r="K106" s="59"/>
      <c r="L106" s="3"/>
      <c r="M106" s="7"/>
      <c r="O106" s="7"/>
      <c r="Q106" s="7"/>
      <c r="S106" s="7"/>
      <c r="U106" s="7"/>
      <c r="W106" s="7"/>
    </row>
    <row r="107">
      <c r="A107" s="50"/>
      <c r="B107" s="53"/>
      <c r="C107" s="27"/>
      <c r="D107" s="28"/>
      <c r="E107" s="60"/>
      <c r="F107" s="6"/>
      <c r="G107" s="7"/>
      <c r="H107" s="35"/>
      <c r="I107" s="27"/>
      <c r="J107" s="28"/>
      <c r="K107" s="59"/>
      <c r="L107" s="3"/>
      <c r="M107" s="7"/>
      <c r="O107" s="7"/>
      <c r="Q107" s="7"/>
      <c r="S107" s="7"/>
      <c r="U107" s="7"/>
      <c r="W107" s="7"/>
    </row>
    <row r="108">
      <c r="A108" s="50"/>
      <c r="B108" s="53"/>
      <c r="C108" s="27"/>
      <c r="D108" s="28"/>
      <c r="E108" s="60"/>
      <c r="F108" s="6"/>
      <c r="G108" s="7"/>
      <c r="H108" s="35"/>
      <c r="I108" s="27"/>
      <c r="J108" s="28"/>
      <c r="K108" s="59"/>
      <c r="L108" s="3"/>
      <c r="M108" s="7"/>
      <c r="O108" s="7"/>
      <c r="Q108" s="7"/>
      <c r="S108" s="7"/>
      <c r="U108" s="7"/>
      <c r="W108" s="7"/>
    </row>
    <row r="109">
      <c r="A109" s="50"/>
      <c r="B109" s="53"/>
      <c r="C109" s="27"/>
      <c r="D109" s="28"/>
      <c r="E109" s="60"/>
      <c r="F109" s="6"/>
      <c r="G109" s="7"/>
      <c r="H109" s="35"/>
      <c r="I109" s="27"/>
      <c r="J109" s="28"/>
      <c r="K109" s="59"/>
      <c r="L109" s="3"/>
      <c r="M109" s="7"/>
      <c r="O109" s="7"/>
      <c r="Q109" s="7"/>
      <c r="S109" s="7"/>
      <c r="U109" s="7"/>
      <c r="W109" s="7"/>
    </row>
    <row r="110">
      <c r="A110" s="50"/>
      <c r="B110" s="53"/>
      <c r="C110" s="27"/>
      <c r="D110" s="28"/>
      <c r="E110" s="60"/>
      <c r="F110" s="6"/>
      <c r="G110" s="7"/>
      <c r="H110" s="35"/>
      <c r="I110" s="27"/>
      <c r="J110" s="28"/>
      <c r="K110" s="59"/>
      <c r="L110" s="3"/>
      <c r="M110" s="7"/>
      <c r="O110" s="7"/>
      <c r="Q110" s="7"/>
      <c r="S110" s="7"/>
      <c r="U110" s="7"/>
      <c r="W110" s="7"/>
    </row>
    <row r="111">
      <c r="A111" s="50"/>
      <c r="B111" s="53"/>
      <c r="C111" s="27"/>
      <c r="D111" s="28"/>
      <c r="E111" s="60"/>
      <c r="F111" s="6"/>
      <c r="G111" s="7"/>
      <c r="H111" s="35"/>
      <c r="I111" s="27"/>
      <c r="J111" s="28"/>
      <c r="K111" s="59"/>
      <c r="L111" s="3"/>
      <c r="M111" s="7"/>
      <c r="O111" s="7"/>
      <c r="Q111" s="7"/>
      <c r="S111" s="7"/>
      <c r="U111" s="7"/>
      <c r="W111" s="7"/>
    </row>
    <row r="112">
      <c r="A112" s="50"/>
      <c r="B112" s="53"/>
      <c r="C112" s="27"/>
      <c r="D112" s="28"/>
      <c r="E112" s="60"/>
      <c r="F112" s="6"/>
      <c r="G112" s="7"/>
      <c r="H112" s="35"/>
      <c r="I112" s="27"/>
      <c r="J112" s="28"/>
      <c r="K112" s="59"/>
      <c r="L112" s="3"/>
      <c r="M112" s="7"/>
      <c r="O112" s="7"/>
      <c r="Q112" s="7"/>
      <c r="S112" s="7"/>
      <c r="U112" s="7"/>
      <c r="W112" s="7"/>
    </row>
    <row r="113">
      <c r="A113" s="50"/>
      <c r="B113" s="53"/>
      <c r="C113" s="27"/>
      <c r="D113" s="28"/>
      <c r="E113" s="60"/>
      <c r="F113" s="6"/>
      <c r="G113" s="7"/>
      <c r="H113" s="35"/>
      <c r="I113" s="27"/>
      <c r="J113" s="28"/>
      <c r="K113" s="59"/>
      <c r="L113" s="3"/>
      <c r="M113" s="7"/>
      <c r="O113" s="7"/>
      <c r="Q113" s="7"/>
      <c r="S113" s="7"/>
      <c r="U113" s="7"/>
      <c r="W113" s="7"/>
    </row>
    <row r="114">
      <c r="A114" s="50"/>
      <c r="B114" s="53"/>
      <c r="C114" s="27"/>
      <c r="D114" s="28"/>
      <c r="E114" s="60"/>
      <c r="F114" s="6"/>
      <c r="G114" s="7"/>
      <c r="H114" s="35"/>
      <c r="I114" s="27"/>
      <c r="J114" s="28"/>
      <c r="K114" s="59"/>
      <c r="L114" s="3"/>
      <c r="M114" s="7"/>
      <c r="O114" s="7"/>
      <c r="Q114" s="7"/>
      <c r="S114" s="7"/>
      <c r="U114" s="7"/>
      <c r="W114" s="7"/>
    </row>
    <row r="115">
      <c r="A115" s="50"/>
      <c r="B115" s="53"/>
      <c r="C115" s="27"/>
      <c r="D115" s="28"/>
      <c r="E115" s="60"/>
      <c r="F115" s="6"/>
      <c r="G115" s="7"/>
      <c r="H115" s="35"/>
      <c r="I115" s="27"/>
      <c r="J115" s="28"/>
      <c r="K115" s="59"/>
      <c r="L115" s="3"/>
      <c r="M115" s="7"/>
      <c r="O115" s="7"/>
      <c r="Q115" s="7"/>
      <c r="S115" s="7"/>
      <c r="U115" s="7"/>
      <c r="W115" s="7"/>
    </row>
    <row r="116">
      <c r="A116" s="50"/>
      <c r="B116" s="53"/>
      <c r="C116" s="27"/>
      <c r="D116" s="28"/>
      <c r="E116" s="60"/>
      <c r="F116" s="6"/>
      <c r="G116" s="7"/>
      <c r="H116" s="35"/>
      <c r="I116" s="27"/>
      <c r="J116" s="28"/>
      <c r="K116" s="59"/>
      <c r="L116" s="3"/>
      <c r="M116" s="7"/>
      <c r="O116" s="7"/>
      <c r="Q116" s="7"/>
      <c r="S116" s="7"/>
      <c r="U116" s="7"/>
      <c r="W116" s="7"/>
    </row>
    <row r="117">
      <c r="A117" s="50"/>
      <c r="B117" s="53"/>
      <c r="C117" s="27"/>
      <c r="D117" s="28"/>
      <c r="E117" s="60"/>
      <c r="F117" s="6"/>
      <c r="G117" s="7"/>
      <c r="H117" s="35"/>
      <c r="I117" s="27"/>
      <c r="J117" s="28"/>
      <c r="K117" s="59"/>
      <c r="L117" s="3"/>
      <c r="M117" s="7"/>
      <c r="O117" s="7"/>
      <c r="Q117" s="7"/>
      <c r="S117" s="7"/>
      <c r="U117" s="7"/>
      <c r="W117" s="7"/>
    </row>
    <row r="118">
      <c r="A118" s="50"/>
      <c r="B118" s="53"/>
      <c r="C118" s="27"/>
      <c r="D118" s="28"/>
      <c r="E118" s="60"/>
      <c r="F118" s="6"/>
      <c r="G118" s="7"/>
      <c r="H118" s="35"/>
      <c r="I118" s="27"/>
      <c r="J118" s="28"/>
      <c r="K118" s="59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7"/>
      <c r="D119" s="28"/>
      <c r="E119" s="60"/>
      <c r="F119" s="6">
        <f>SUM(F90:F96)</f>
        <v>36</v>
      </c>
      <c r="G119" s="7"/>
      <c r="H119" s="35" t="s">
        <v>17</v>
      </c>
      <c r="I119" s="27"/>
      <c r="J119" s="28"/>
      <c r="K119" s="60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E120" s="62"/>
      <c r="F120" s="7"/>
      <c r="G120" s="7"/>
      <c r="I120" s="7"/>
      <c r="K120" s="62"/>
      <c r="L120" s="7"/>
      <c r="M120" s="7"/>
      <c r="O120" s="7"/>
      <c r="Q120" s="7"/>
      <c r="S120" s="7"/>
      <c r="U120" s="7"/>
      <c r="W120" s="7"/>
    </row>
    <row r="121">
      <c r="B121" s="26" t="s">
        <v>28</v>
      </c>
      <c r="C121" s="27"/>
      <c r="D121" s="27"/>
      <c r="E121" s="27"/>
      <c r="F121" s="28"/>
      <c r="G121" s="7"/>
      <c r="I121" s="7"/>
      <c r="K121" s="62"/>
      <c r="L121" s="7"/>
      <c r="M121" s="7"/>
      <c r="O121" s="7"/>
      <c r="Q121" s="7"/>
      <c r="S121" s="7"/>
      <c r="U121" s="7"/>
      <c r="W121" s="7"/>
    </row>
    <row r="122">
      <c r="B122" s="26" t="s">
        <v>33</v>
      </c>
      <c r="C122" s="27"/>
      <c r="D122" s="28"/>
      <c r="E122" s="34" t="s">
        <v>34</v>
      </c>
      <c r="F122" s="31" t="s">
        <v>35</v>
      </c>
      <c r="G122" s="7"/>
      <c r="I122" s="7"/>
      <c r="K122" s="62"/>
      <c r="L122" s="7"/>
      <c r="M122" s="7"/>
      <c r="O122" s="7"/>
      <c r="Q122" s="7"/>
      <c r="S122" s="7"/>
      <c r="U122" s="7"/>
      <c r="W122" s="7"/>
    </row>
    <row r="123">
      <c r="B123" s="26" t="s">
        <v>86</v>
      </c>
      <c r="C123" s="27"/>
      <c r="D123" s="28"/>
      <c r="E123" s="34">
        <v>43806.0</v>
      </c>
      <c r="F123" s="31">
        <v>15.0</v>
      </c>
      <c r="G123" s="7"/>
      <c r="I123" s="7"/>
      <c r="K123" s="62"/>
      <c r="L123" s="7"/>
      <c r="M123" s="7"/>
      <c r="O123" s="7"/>
      <c r="Q123" s="7"/>
      <c r="S123" s="7"/>
      <c r="U123" s="7"/>
      <c r="W123" s="7"/>
    </row>
    <row r="124">
      <c r="B124" s="26" t="s">
        <v>444</v>
      </c>
      <c r="C124" s="27"/>
      <c r="D124" s="28"/>
      <c r="E124" s="66">
        <v>43808.0</v>
      </c>
      <c r="F124" s="31">
        <v>8.0</v>
      </c>
      <c r="G124" s="7"/>
      <c r="I124" s="7"/>
      <c r="K124" s="62"/>
      <c r="L124" s="7"/>
      <c r="M124" s="7"/>
      <c r="O124" s="7"/>
      <c r="Q124" s="7"/>
      <c r="S124" s="7"/>
      <c r="U124" s="7"/>
      <c r="W124" s="7"/>
    </row>
    <row r="125">
      <c r="B125" s="26" t="s">
        <v>445</v>
      </c>
      <c r="C125" s="27"/>
      <c r="D125" s="28"/>
      <c r="E125" s="34">
        <v>43809.0</v>
      </c>
      <c r="F125" s="31">
        <v>30.0</v>
      </c>
      <c r="G125" s="7"/>
      <c r="I125" s="7"/>
      <c r="K125" s="62"/>
      <c r="L125" s="7"/>
      <c r="M125" s="7"/>
      <c r="O125" s="7"/>
      <c r="Q125" s="7"/>
      <c r="S125" s="7"/>
      <c r="U125" s="7"/>
      <c r="W125" s="7"/>
    </row>
    <row r="126">
      <c r="B126" s="26" t="s">
        <v>86</v>
      </c>
      <c r="C126" s="27"/>
      <c r="D126" s="28"/>
      <c r="E126" s="66">
        <v>43812.0</v>
      </c>
      <c r="F126" s="31">
        <v>20.0</v>
      </c>
      <c r="G126" s="7"/>
      <c r="I126" s="7"/>
      <c r="K126" s="62"/>
      <c r="L126" s="7"/>
      <c r="M126" s="7"/>
      <c r="O126" s="7"/>
      <c r="Q126" s="7"/>
      <c r="S126" s="7"/>
      <c r="U126" s="7"/>
      <c r="W126" s="7"/>
    </row>
    <row r="127">
      <c r="B127" s="26" t="s">
        <v>128</v>
      </c>
      <c r="C127" s="27"/>
      <c r="D127" s="28"/>
      <c r="E127" s="34">
        <v>43818.0</v>
      </c>
      <c r="F127" s="31">
        <v>22.0</v>
      </c>
      <c r="G127" s="7"/>
      <c r="I127" s="7"/>
      <c r="K127" s="62"/>
      <c r="L127" s="7"/>
      <c r="M127" s="7"/>
      <c r="O127" s="7"/>
      <c r="Q127" s="7"/>
      <c r="S127" s="7"/>
      <c r="U127" s="7"/>
      <c r="W127" s="7"/>
    </row>
    <row r="128">
      <c r="B128" s="26" t="s">
        <v>86</v>
      </c>
      <c r="C128" s="27"/>
      <c r="D128" s="28"/>
      <c r="E128" s="66">
        <v>43828.0</v>
      </c>
      <c r="F128" s="31">
        <v>10.0</v>
      </c>
      <c r="G128" s="7"/>
      <c r="I128" s="7"/>
      <c r="K128" s="62"/>
      <c r="L128" s="7"/>
      <c r="M128" s="7"/>
      <c r="O128" s="7"/>
      <c r="Q128" s="7"/>
      <c r="S128" s="7"/>
      <c r="U128" s="7"/>
      <c r="W128" s="7"/>
    </row>
    <row r="129">
      <c r="B129" s="26"/>
      <c r="C129" s="27"/>
      <c r="D129" s="28"/>
      <c r="E129" s="66"/>
      <c r="F129" s="31"/>
      <c r="G129" s="7"/>
      <c r="I129" s="7"/>
      <c r="K129" s="62"/>
      <c r="L129" s="7"/>
      <c r="M129" s="7"/>
      <c r="O129" s="7"/>
      <c r="Q129" s="7"/>
      <c r="S129" s="7"/>
      <c r="U129" s="7"/>
      <c r="W129" s="7"/>
    </row>
    <row r="130">
      <c r="B130" s="26"/>
      <c r="C130" s="27"/>
      <c r="D130" s="28"/>
      <c r="E130" s="34"/>
      <c r="F130" s="31"/>
      <c r="G130" s="7"/>
      <c r="I130" s="7"/>
      <c r="K130" s="62"/>
      <c r="L130" s="7"/>
      <c r="M130" s="7"/>
      <c r="O130" s="7"/>
      <c r="Q130" s="7"/>
      <c r="S130" s="7"/>
      <c r="U130" s="7"/>
      <c r="W130" s="7"/>
    </row>
    <row r="131">
      <c r="B131" s="26"/>
      <c r="C131" s="27"/>
      <c r="D131" s="28"/>
      <c r="E131" s="34"/>
      <c r="F131" s="31"/>
      <c r="G131" s="7"/>
      <c r="I131" s="7"/>
      <c r="K131" s="62"/>
      <c r="L131" s="7"/>
      <c r="M131" s="7"/>
      <c r="O131" s="7"/>
      <c r="Q131" s="7"/>
      <c r="S131" s="7"/>
      <c r="U131" s="7"/>
      <c r="W131" s="7"/>
    </row>
    <row r="132">
      <c r="B132" s="26"/>
      <c r="C132" s="27"/>
      <c r="D132" s="28"/>
      <c r="E132" s="34"/>
      <c r="F132" s="31"/>
      <c r="G132" s="7"/>
      <c r="I132" s="7"/>
      <c r="K132" s="62"/>
      <c r="L132" s="7"/>
      <c r="M132" s="7"/>
      <c r="O132" s="7"/>
      <c r="Q132" s="7"/>
      <c r="S132" s="7"/>
      <c r="U132" s="7"/>
      <c r="W132" s="7"/>
    </row>
    <row r="133">
      <c r="B133" s="26"/>
      <c r="C133" s="27"/>
      <c r="D133" s="28"/>
      <c r="E133" s="34"/>
      <c r="F133" s="31"/>
      <c r="G133" s="7"/>
      <c r="I133" s="7"/>
      <c r="K133" s="62"/>
      <c r="L133" s="7"/>
      <c r="M133" s="7"/>
      <c r="O133" s="7"/>
      <c r="Q133" s="7"/>
      <c r="S133" s="7"/>
      <c r="U133" s="7"/>
      <c r="W133" s="7"/>
    </row>
    <row r="134">
      <c r="B134" s="26"/>
      <c r="C134" s="27"/>
      <c r="D134" s="28"/>
      <c r="E134" s="34"/>
      <c r="F134" s="31"/>
      <c r="G134" s="7"/>
      <c r="I134" s="7"/>
      <c r="K134" s="62"/>
      <c r="L134" s="7"/>
      <c r="M134" s="7"/>
      <c r="O134" s="7"/>
      <c r="Q134" s="7"/>
      <c r="S134" s="7"/>
      <c r="U134" s="7"/>
      <c r="W134" s="7"/>
    </row>
    <row r="135">
      <c r="B135" s="26"/>
      <c r="C135" s="27"/>
      <c r="D135" s="28"/>
      <c r="E135" s="34"/>
      <c r="F135" s="31"/>
      <c r="G135" s="7"/>
      <c r="I135" s="7"/>
      <c r="K135" s="62"/>
      <c r="L135" s="7"/>
      <c r="M135" s="7"/>
      <c r="O135" s="7"/>
      <c r="Q135" s="7"/>
      <c r="S135" s="7"/>
      <c r="U135" s="7"/>
      <c r="W135" s="7"/>
    </row>
    <row r="136">
      <c r="B136" s="26"/>
      <c r="C136" s="27"/>
      <c r="D136" s="28"/>
      <c r="E136" s="34"/>
      <c r="F136" s="31"/>
      <c r="G136" s="7"/>
      <c r="I136" s="7"/>
      <c r="K136" s="62"/>
      <c r="L136" s="7"/>
      <c r="M136" s="7"/>
      <c r="O136" s="7"/>
      <c r="Q136" s="7"/>
      <c r="S136" s="7"/>
      <c r="U136" s="7"/>
      <c r="W136" s="7"/>
    </row>
    <row r="137">
      <c r="B137" s="26"/>
      <c r="C137" s="27"/>
      <c r="D137" s="28"/>
      <c r="E137" s="34"/>
      <c r="F137" s="31"/>
      <c r="G137" s="7"/>
      <c r="I137" s="7"/>
      <c r="K137" s="62"/>
      <c r="L137" s="7"/>
      <c r="M137" s="7"/>
      <c r="O137" s="7"/>
      <c r="Q137" s="7"/>
      <c r="S137" s="7"/>
      <c r="U137" s="7"/>
      <c r="W137" s="7"/>
    </row>
    <row r="138">
      <c r="B138" s="26"/>
      <c r="C138" s="27"/>
      <c r="D138" s="28"/>
      <c r="E138" s="34"/>
      <c r="F138" s="31"/>
      <c r="G138" s="7"/>
      <c r="I138" s="7"/>
      <c r="K138" s="62"/>
      <c r="L138" s="7"/>
      <c r="M138" s="7"/>
      <c r="O138" s="7"/>
      <c r="Q138" s="7"/>
      <c r="S138" s="7"/>
      <c r="U138" s="7"/>
      <c r="W138" s="7"/>
    </row>
    <row r="139">
      <c r="B139" s="43" t="s">
        <v>17</v>
      </c>
      <c r="C139" s="27"/>
      <c r="D139" s="27"/>
      <c r="E139" s="28"/>
      <c r="F139" s="31">
        <f>SUM(F123:F138)</f>
        <v>105</v>
      </c>
      <c r="G139" s="7"/>
      <c r="I139" s="7"/>
      <c r="K139" s="62"/>
      <c r="L139" s="7"/>
      <c r="M139" s="7"/>
      <c r="O139" s="7"/>
      <c r="Q139" s="7"/>
      <c r="S139" s="7"/>
      <c r="U139" s="7"/>
      <c r="W139" s="7"/>
    </row>
    <row r="140">
      <c r="E140" s="62"/>
      <c r="F140" s="7"/>
      <c r="G140" s="7"/>
      <c r="I140" s="7"/>
      <c r="K140" s="62"/>
      <c r="L140" s="7"/>
      <c r="M140" s="7"/>
      <c r="O140" s="7"/>
      <c r="Q140" s="7"/>
      <c r="S140" s="7"/>
      <c r="U140" s="7"/>
      <c r="W140" s="7"/>
    </row>
    <row r="141">
      <c r="E141" s="62"/>
      <c r="F141" s="7"/>
      <c r="G141" s="7"/>
      <c r="I141" s="7"/>
      <c r="K141" s="62"/>
      <c r="L141" s="7"/>
      <c r="M141" s="7"/>
      <c r="O141" s="7"/>
      <c r="Q141" s="7"/>
      <c r="S141" s="7"/>
      <c r="U141" s="7"/>
      <c r="W141" s="7"/>
    </row>
    <row r="142">
      <c r="E142" s="62"/>
      <c r="F142" s="7"/>
      <c r="G142" s="7"/>
      <c r="I142" s="7"/>
      <c r="K142" s="62"/>
      <c r="L142" s="7"/>
      <c r="M142" s="7"/>
      <c r="O142" s="7"/>
      <c r="Q142" s="7"/>
      <c r="S142" s="7"/>
      <c r="U142" s="7"/>
      <c r="W142" s="7"/>
    </row>
    <row r="143">
      <c r="E143" s="62"/>
      <c r="F143" s="7"/>
      <c r="G143" s="7"/>
      <c r="I143" s="7"/>
      <c r="K143" s="62"/>
      <c r="L143" s="7"/>
      <c r="M143" s="7"/>
      <c r="O143" s="7"/>
      <c r="Q143" s="7"/>
      <c r="S143" s="7"/>
      <c r="U143" s="7"/>
      <c r="W143" s="7"/>
    </row>
    <row r="144">
      <c r="E144" s="62"/>
      <c r="F144" s="7"/>
      <c r="G144" s="7"/>
      <c r="I144" s="7"/>
      <c r="K144" s="62"/>
      <c r="L144" s="7"/>
      <c r="M144" s="7"/>
      <c r="O144" s="7"/>
      <c r="Q144" s="7"/>
      <c r="S144" s="7"/>
      <c r="U144" s="7"/>
      <c r="W144" s="7"/>
    </row>
    <row r="145">
      <c r="E145" s="62"/>
      <c r="F145" s="7"/>
      <c r="G145" s="7"/>
      <c r="I145" s="7"/>
      <c r="K145" s="62"/>
      <c r="L145" s="7"/>
      <c r="M145" s="7"/>
      <c r="O145" s="7"/>
      <c r="Q145" s="7"/>
      <c r="S145" s="7"/>
      <c r="U145" s="7"/>
      <c r="W145" s="7"/>
    </row>
    <row r="146">
      <c r="E146" s="62"/>
      <c r="F146" s="7"/>
      <c r="G146" s="7"/>
      <c r="I146" s="7"/>
      <c r="K146" s="62"/>
      <c r="L146" s="7"/>
      <c r="M146" s="7"/>
      <c r="O146" s="7"/>
      <c r="Q146" s="7"/>
      <c r="S146" s="7"/>
      <c r="U146" s="7"/>
      <c r="W146" s="7"/>
    </row>
    <row r="147">
      <c r="E147" s="62"/>
      <c r="F147" s="7"/>
      <c r="G147" s="7"/>
      <c r="I147" s="7"/>
      <c r="K147" s="62"/>
      <c r="L147" s="7"/>
      <c r="M147" s="7"/>
      <c r="O147" s="7"/>
      <c r="Q147" s="7"/>
      <c r="S147" s="7"/>
      <c r="U147" s="7"/>
      <c r="W147" s="7"/>
    </row>
    <row r="148">
      <c r="E148" s="62"/>
      <c r="F148" s="7"/>
      <c r="G148" s="7"/>
      <c r="I148" s="7"/>
      <c r="K148" s="62"/>
      <c r="L148" s="7"/>
      <c r="M148" s="7"/>
      <c r="O148" s="7"/>
      <c r="Q148" s="7"/>
      <c r="S148" s="7"/>
      <c r="U148" s="7"/>
      <c r="W148" s="7"/>
    </row>
    <row r="149">
      <c r="E149" s="62"/>
      <c r="F149" s="7"/>
      <c r="G149" s="7"/>
      <c r="I149" s="7"/>
      <c r="K149" s="62"/>
      <c r="L149" s="7"/>
      <c r="M149" s="7"/>
      <c r="O149" s="7"/>
      <c r="Q149" s="7"/>
      <c r="S149" s="7"/>
      <c r="U149" s="7"/>
      <c r="W149" s="7"/>
    </row>
    <row r="150">
      <c r="E150" s="62"/>
      <c r="F150" s="7"/>
      <c r="G150" s="7"/>
      <c r="I150" s="7"/>
      <c r="K150" s="62"/>
      <c r="L150" s="7"/>
      <c r="M150" s="7"/>
      <c r="O150" s="7"/>
      <c r="Q150" s="7"/>
      <c r="S150" s="7"/>
      <c r="U150" s="7"/>
      <c r="W150" s="7"/>
    </row>
    <row r="151">
      <c r="E151" s="62"/>
      <c r="F151" s="7"/>
      <c r="G151" s="7"/>
      <c r="I151" s="7"/>
      <c r="K151" s="62"/>
      <c r="L151" s="7"/>
      <c r="M151" s="7"/>
      <c r="O151" s="7"/>
      <c r="Q151" s="7"/>
      <c r="S151" s="7"/>
      <c r="U151" s="7"/>
      <c r="W151" s="7"/>
    </row>
    <row r="152">
      <c r="E152" s="62"/>
      <c r="F152" s="7"/>
      <c r="G152" s="7"/>
      <c r="I152" s="7"/>
      <c r="K152" s="62"/>
      <c r="L152" s="7"/>
      <c r="M152" s="7"/>
      <c r="O152" s="7"/>
      <c r="Q152" s="7"/>
      <c r="S152" s="7"/>
      <c r="U152" s="7"/>
      <c r="W152" s="7"/>
    </row>
    <row r="153">
      <c r="E153" s="62"/>
      <c r="F153" s="7"/>
      <c r="G153" s="7"/>
      <c r="I153" s="7"/>
      <c r="K153" s="62"/>
      <c r="L153" s="7"/>
      <c r="M153" s="7"/>
      <c r="O153" s="7"/>
      <c r="Q153" s="7"/>
      <c r="S153" s="7"/>
      <c r="U153" s="7"/>
      <c r="W153" s="7"/>
    </row>
    <row r="154">
      <c r="E154" s="62"/>
      <c r="F154" s="7"/>
      <c r="G154" s="7"/>
      <c r="I154" s="7"/>
      <c r="K154" s="62"/>
      <c r="L154" s="7"/>
      <c r="M154" s="7"/>
      <c r="O154" s="7"/>
      <c r="Q154" s="7"/>
      <c r="S154" s="7"/>
      <c r="U154" s="7"/>
      <c r="W154" s="7"/>
    </row>
    <row r="155">
      <c r="E155" s="62"/>
      <c r="F155" s="7"/>
      <c r="G155" s="7"/>
      <c r="I155" s="7"/>
      <c r="K155" s="62"/>
      <c r="L155" s="7"/>
      <c r="M155" s="7"/>
      <c r="O155" s="7"/>
      <c r="Q155" s="7"/>
      <c r="S155" s="7"/>
      <c r="U155" s="7"/>
      <c r="W155" s="7"/>
    </row>
    <row r="156">
      <c r="E156" s="62"/>
      <c r="F156" s="7"/>
      <c r="G156" s="7"/>
      <c r="I156" s="7"/>
      <c r="K156" s="62"/>
      <c r="L156" s="7"/>
      <c r="M156" s="7"/>
      <c r="O156" s="7"/>
      <c r="Q156" s="7"/>
      <c r="S156" s="7"/>
      <c r="U156" s="7"/>
      <c r="W156" s="7"/>
    </row>
    <row r="157">
      <c r="E157" s="62"/>
      <c r="F157" s="7"/>
      <c r="G157" s="7"/>
      <c r="I157" s="7"/>
      <c r="K157" s="62"/>
      <c r="L157" s="7"/>
      <c r="M157" s="7"/>
      <c r="O157" s="7"/>
      <c r="Q157" s="7"/>
      <c r="S157" s="7"/>
      <c r="U157" s="7"/>
      <c r="W157" s="7"/>
    </row>
    <row r="158">
      <c r="E158" s="62"/>
      <c r="F158" s="7"/>
      <c r="G158" s="7"/>
      <c r="I158" s="7"/>
      <c r="K158" s="62"/>
      <c r="L158" s="7"/>
      <c r="M158" s="7"/>
      <c r="O158" s="7"/>
      <c r="Q158" s="7"/>
      <c r="S158" s="7"/>
      <c r="U158" s="7"/>
      <c r="W158" s="7"/>
    </row>
    <row r="159">
      <c r="E159" s="62"/>
      <c r="F159" s="7"/>
      <c r="G159" s="7"/>
      <c r="I159" s="7"/>
      <c r="K159" s="62"/>
      <c r="L159" s="7"/>
      <c r="M159" s="7"/>
      <c r="O159" s="7"/>
      <c r="Q159" s="7"/>
      <c r="S159" s="7"/>
      <c r="U159" s="7"/>
      <c r="W159" s="7"/>
    </row>
    <row r="160">
      <c r="E160" s="62"/>
      <c r="F160" s="7"/>
      <c r="G160" s="7"/>
      <c r="I160" s="7"/>
      <c r="K160" s="62"/>
      <c r="L160" s="7"/>
      <c r="M160" s="7"/>
      <c r="O160" s="7"/>
      <c r="Q160" s="7"/>
      <c r="S160" s="7"/>
      <c r="U160" s="7"/>
      <c r="W160" s="7"/>
    </row>
    <row r="161">
      <c r="E161" s="62"/>
      <c r="F161" s="7"/>
      <c r="G161" s="7"/>
      <c r="I161" s="7"/>
      <c r="K161" s="62"/>
      <c r="L161" s="7"/>
      <c r="M161" s="7"/>
      <c r="O161" s="7"/>
      <c r="Q161" s="7"/>
      <c r="S161" s="7"/>
      <c r="U161" s="7"/>
      <c r="W161" s="7"/>
    </row>
    <row r="162">
      <c r="E162" s="62"/>
      <c r="F162" s="7"/>
      <c r="G162" s="7"/>
      <c r="I162" s="7"/>
      <c r="K162" s="62"/>
      <c r="L162" s="7"/>
      <c r="M162" s="7"/>
      <c r="O162" s="7"/>
      <c r="Q162" s="7"/>
      <c r="S162" s="7"/>
      <c r="U162" s="7"/>
      <c r="W162" s="7"/>
    </row>
    <row r="163">
      <c r="E163" s="62"/>
      <c r="F163" s="7"/>
      <c r="G163" s="7"/>
      <c r="I163" s="7"/>
      <c r="K163" s="62"/>
      <c r="L163" s="7"/>
      <c r="M163" s="7"/>
      <c r="O163" s="7"/>
      <c r="Q163" s="7"/>
      <c r="S163" s="7"/>
      <c r="U163" s="7"/>
      <c r="W163" s="7"/>
    </row>
    <row r="164">
      <c r="E164" s="62"/>
      <c r="F164" s="7"/>
      <c r="G164" s="7"/>
      <c r="I164" s="7"/>
      <c r="K164" s="62"/>
      <c r="L164" s="7"/>
      <c r="M164" s="7"/>
      <c r="O164" s="7"/>
      <c r="Q164" s="7"/>
      <c r="S164" s="7"/>
      <c r="U164" s="7"/>
      <c r="W164" s="7"/>
    </row>
    <row r="165">
      <c r="E165" s="62"/>
      <c r="F165" s="7"/>
      <c r="G165" s="7"/>
      <c r="I165" s="7"/>
      <c r="K165" s="62"/>
      <c r="L165" s="7"/>
      <c r="M165" s="7"/>
      <c r="O165" s="7"/>
      <c r="Q165" s="7"/>
      <c r="S165" s="7"/>
      <c r="U165" s="7"/>
      <c r="W165" s="7"/>
    </row>
    <row r="166">
      <c r="E166" s="62"/>
      <c r="F166" s="7"/>
      <c r="G166" s="7"/>
      <c r="I166" s="7"/>
      <c r="K166" s="62"/>
      <c r="L166" s="7"/>
      <c r="M166" s="7"/>
      <c r="O166" s="7"/>
      <c r="Q166" s="7"/>
      <c r="S166" s="7"/>
      <c r="U166" s="7"/>
      <c r="W166" s="7"/>
    </row>
    <row r="167">
      <c r="E167" s="62"/>
      <c r="F167" s="7"/>
      <c r="G167" s="7"/>
      <c r="I167" s="7"/>
      <c r="K167" s="62"/>
      <c r="L167" s="7"/>
      <c r="M167" s="7"/>
      <c r="O167" s="7"/>
      <c r="Q167" s="7"/>
      <c r="S167" s="7"/>
      <c r="U167" s="7"/>
      <c r="W167" s="7"/>
    </row>
    <row r="168">
      <c r="E168" s="62"/>
      <c r="F168" s="7"/>
      <c r="G168" s="7"/>
      <c r="I168" s="7"/>
      <c r="K168" s="62"/>
      <c r="L168" s="7"/>
      <c r="M168" s="7"/>
      <c r="O168" s="7"/>
      <c r="Q168" s="7"/>
      <c r="S168" s="7"/>
      <c r="U168" s="7"/>
      <c r="W168" s="7"/>
    </row>
    <row r="169">
      <c r="E169" s="62"/>
      <c r="F169" s="7"/>
      <c r="G169" s="7"/>
      <c r="I169" s="7"/>
      <c r="K169" s="62"/>
      <c r="L169" s="7"/>
      <c r="M169" s="7"/>
      <c r="O169" s="7"/>
      <c r="Q169" s="7"/>
      <c r="S169" s="7"/>
      <c r="U169" s="7"/>
      <c r="W169" s="7"/>
    </row>
    <row r="170">
      <c r="E170" s="62"/>
      <c r="F170" s="7"/>
      <c r="G170" s="7"/>
      <c r="I170" s="7"/>
      <c r="K170" s="62"/>
      <c r="L170" s="7"/>
      <c r="M170" s="7"/>
      <c r="O170" s="7"/>
      <c r="Q170" s="7"/>
      <c r="S170" s="7"/>
      <c r="U170" s="7"/>
      <c r="W170" s="7"/>
    </row>
    <row r="171">
      <c r="E171" s="62"/>
      <c r="F171" s="7"/>
      <c r="G171" s="7"/>
      <c r="I171" s="7"/>
      <c r="K171" s="62"/>
      <c r="L171" s="7"/>
      <c r="M171" s="7"/>
      <c r="O171" s="7"/>
      <c r="Q171" s="7"/>
      <c r="S171" s="7"/>
      <c r="U171" s="7"/>
      <c r="W171" s="7"/>
    </row>
    <row r="172">
      <c r="E172" s="62"/>
      <c r="F172" s="7"/>
      <c r="G172" s="7"/>
      <c r="I172" s="7"/>
      <c r="K172" s="62"/>
      <c r="L172" s="7"/>
      <c r="M172" s="7"/>
      <c r="O172" s="7"/>
      <c r="Q172" s="7"/>
      <c r="S172" s="7"/>
      <c r="U172" s="7"/>
      <c r="W172" s="7"/>
    </row>
    <row r="173">
      <c r="E173" s="62"/>
      <c r="F173" s="7"/>
      <c r="G173" s="7"/>
      <c r="I173" s="7"/>
      <c r="K173" s="62"/>
      <c r="L173" s="7"/>
      <c r="M173" s="7"/>
      <c r="O173" s="7"/>
      <c r="Q173" s="7"/>
      <c r="S173" s="7"/>
      <c r="U173" s="7"/>
      <c r="W173" s="7"/>
    </row>
    <row r="174">
      <c r="E174" s="62"/>
      <c r="F174" s="7"/>
      <c r="G174" s="7"/>
      <c r="I174" s="7"/>
      <c r="K174" s="62"/>
      <c r="L174" s="7"/>
      <c r="M174" s="7"/>
      <c r="O174" s="7"/>
      <c r="Q174" s="7"/>
      <c r="S174" s="7"/>
      <c r="U174" s="7"/>
      <c r="W174" s="7"/>
    </row>
    <row r="175">
      <c r="E175" s="62"/>
      <c r="F175" s="7"/>
      <c r="G175" s="7"/>
      <c r="I175" s="7"/>
      <c r="K175" s="62"/>
      <c r="L175" s="7"/>
      <c r="M175" s="7"/>
      <c r="O175" s="7"/>
      <c r="Q175" s="7"/>
      <c r="S175" s="7"/>
      <c r="U175" s="7"/>
      <c r="W175" s="7"/>
    </row>
    <row r="176">
      <c r="E176" s="62"/>
      <c r="F176" s="7"/>
      <c r="G176" s="7"/>
      <c r="I176" s="7"/>
      <c r="K176" s="62"/>
      <c r="L176" s="7"/>
      <c r="M176" s="7"/>
      <c r="O176" s="7"/>
      <c r="Q176" s="7"/>
      <c r="S176" s="7"/>
      <c r="U176" s="7"/>
      <c r="W176" s="7"/>
    </row>
    <row r="177">
      <c r="E177" s="62"/>
      <c r="F177" s="7"/>
      <c r="G177" s="7"/>
      <c r="I177" s="7"/>
      <c r="K177" s="62"/>
      <c r="L177" s="7"/>
      <c r="M177" s="7"/>
      <c r="O177" s="7"/>
      <c r="Q177" s="7"/>
      <c r="S177" s="7"/>
      <c r="U177" s="7"/>
      <c r="W177" s="7"/>
    </row>
    <row r="178">
      <c r="E178" s="62"/>
      <c r="F178" s="7"/>
      <c r="G178" s="7"/>
      <c r="I178" s="7"/>
      <c r="K178" s="62"/>
      <c r="L178" s="7"/>
      <c r="M178" s="7"/>
      <c r="O178" s="7"/>
      <c r="Q178" s="7"/>
      <c r="S178" s="7"/>
      <c r="U178" s="7"/>
      <c r="W178" s="7"/>
    </row>
    <row r="179">
      <c r="E179" s="62"/>
      <c r="F179" s="7"/>
      <c r="G179" s="7"/>
      <c r="I179" s="7"/>
      <c r="K179" s="62"/>
      <c r="L179" s="7"/>
      <c r="M179" s="7"/>
      <c r="O179" s="7"/>
      <c r="Q179" s="7"/>
      <c r="S179" s="7"/>
      <c r="U179" s="7"/>
      <c r="W179" s="7"/>
    </row>
    <row r="180">
      <c r="E180" s="62"/>
      <c r="F180" s="7"/>
      <c r="G180" s="7"/>
      <c r="I180" s="7"/>
      <c r="K180" s="62"/>
      <c r="L180" s="7"/>
      <c r="M180" s="7"/>
      <c r="O180" s="7"/>
      <c r="Q180" s="7"/>
      <c r="S180" s="7"/>
      <c r="U180" s="7"/>
      <c r="W180" s="7"/>
    </row>
    <row r="181">
      <c r="E181" s="62"/>
      <c r="F181" s="7"/>
      <c r="G181" s="7"/>
      <c r="I181" s="7"/>
      <c r="K181" s="62"/>
      <c r="L181" s="7"/>
      <c r="M181" s="7"/>
      <c r="O181" s="7"/>
      <c r="Q181" s="7"/>
      <c r="S181" s="7"/>
      <c r="U181" s="7"/>
      <c r="W181" s="7"/>
    </row>
    <row r="182">
      <c r="E182" s="62"/>
      <c r="F182" s="7"/>
      <c r="G182" s="7"/>
      <c r="I182" s="7"/>
      <c r="K182" s="62"/>
      <c r="L182" s="7"/>
      <c r="M182" s="7"/>
      <c r="O182" s="7"/>
      <c r="Q182" s="7"/>
      <c r="S182" s="7"/>
      <c r="U182" s="7"/>
      <c r="W182" s="7"/>
    </row>
    <row r="183">
      <c r="E183" s="62"/>
      <c r="F183" s="7"/>
      <c r="G183" s="7"/>
      <c r="I183" s="7"/>
      <c r="K183" s="62"/>
      <c r="L183" s="7"/>
      <c r="M183" s="7"/>
      <c r="O183" s="7"/>
      <c r="Q183" s="7"/>
      <c r="S183" s="7"/>
      <c r="U183" s="7"/>
      <c r="W183" s="7"/>
    </row>
    <row r="184">
      <c r="E184" s="62"/>
      <c r="F184" s="7"/>
      <c r="G184" s="7"/>
      <c r="I184" s="7"/>
      <c r="K184" s="62"/>
      <c r="L184" s="7"/>
      <c r="M184" s="7"/>
      <c r="O184" s="7"/>
      <c r="Q184" s="7"/>
      <c r="S184" s="7"/>
      <c r="U184" s="7"/>
      <c r="W184" s="7"/>
    </row>
    <row r="185">
      <c r="E185" s="62"/>
      <c r="F185" s="7"/>
      <c r="G185" s="7"/>
      <c r="I185" s="7"/>
      <c r="K185" s="62"/>
      <c r="L185" s="7"/>
      <c r="M185" s="7"/>
      <c r="O185" s="7"/>
      <c r="Q185" s="7"/>
      <c r="S185" s="7"/>
      <c r="U185" s="7"/>
      <c r="W185" s="7"/>
    </row>
    <row r="186">
      <c r="E186" s="62"/>
      <c r="F186" s="7"/>
      <c r="G186" s="7"/>
      <c r="I186" s="7"/>
      <c r="K186" s="62"/>
      <c r="L186" s="7"/>
      <c r="M186" s="7"/>
      <c r="O186" s="7"/>
      <c r="Q186" s="7"/>
      <c r="S186" s="7"/>
      <c r="U186" s="7"/>
      <c r="W186" s="7"/>
    </row>
    <row r="187">
      <c r="E187" s="62"/>
      <c r="F187" s="7"/>
      <c r="G187" s="7"/>
      <c r="I187" s="7"/>
      <c r="K187" s="62"/>
      <c r="L187" s="7"/>
      <c r="M187" s="7"/>
      <c r="O187" s="7"/>
      <c r="Q187" s="7"/>
      <c r="S187" s="7"/>
      <c r="U187" s="7"/>
      <c r="W187" s="7"/>
    </row>
    <row r="188">
      <c r="E188" s="62"/>
      <c r="F188" s="7"/>
      <c r="G188" s="7"/>
      <c r="I188" s="7"/>
      <c r="K188" s="62"/>
      <c r="L188" s="7"/>
      <c r="M188" s="7"/>
      <c r="O188" s="7"/>
      <c r="Q188" s="7"/>
      <c r="S188" s="7"/>
      <c r="U188" s="7"/>
      <c r="W188" s="7"/>
    </row>
    <row r="189">
      <c r="E189" s="62"/>
      <c r="F189" s="7"/>
      <c r="G189" s="7"/>
      <c r="I189" s="7"/>
      <c r="K189" s="62"/>
      <c r="L189" s="7"/>
      <c r="M189" s="7"/>
      <c r="O189" s="7"/>
      <c r="Q189" s="7"/>
      <c r="S189" s="7"/>
      <c r="U189" s="7"/>
      <c r="W189" s="7"/>
    </row>
    <row r="190">
      <c r="E190" s="62"/>
      <c r="F190" s="7"/>
      <c r="G190" s="7"/>
      <c r="I190" s="7"/>
      <c r="K190" s="62"/>
      <c r="L190" s="7"/>
      <c r="M190" s="7"/>
      <c r="O190" s="7"/>
      <c r="Q190" s="7"/>
      <c r="S190" s="7"/>
      <c r="U190" s="7"/>
      <c r="W190" s="7"/>
    </row>
    <row r="191">
      <c r="E191" s="62"/>
      <c r="F191" s="7"/>
      <c r="G191" s="7"/>
      <c r="I191" s="7"/>
      <c r="K191" s="62"/>
      <c r="L191" s="7"/>
      <c r="M191" s="7"/>
      <c r="O191" s="7"/>
      <c r="Q191" s="7"/>
      <c r="S191" s="7"/>
      <c r="U191" s="7"/>
      <c r="W191" s="7"/>
    </row>
    <row r="192">
      <c r="E192" s="62"/>
      <c r="F192" s="7"/>
      <c r="G192" s="7"/>
      <c r="I192" s="7"/>
      <c r="K192" s="62"/>
      <c r="L192" s="7"/>
      <c r="M192" s="7"/>
      <c r="O192" s="7"/>
      <c r="Q192" s="7"/>
      <c r="S192" s="7"/>
      <c r="U192" s="7"/>
      <c r="W192" s="7"/>
    </row>
    <row r="193">
      <c r="E193" s="62"/>
      <c r="F193" s="7"/>
      <c r="G193" s="7"/>
      <c r="I193" s="7"/>
      <c r="K193" s="62"/>
      <c r="L193" s="7"/>
      <c r="M193" s="7"/>
      <c r="O193" s="7"/>
      <c r="Q193" s="7"/>
      <c r="S193" s="7"/>
      <c r="U193" s="7"/>
      <c r="W193" s="7"/>
    </row>
    <row r="194">
      <c r="E194" s="62"/>
      <c r="F194" s="7"/>
      <c r="G194" s="7"/>
      <c r="I194" s="7"/>
      <c r="K194" s="62"/>
      <c r="L194" s="7"/>
      <c r="M194" s="7"/>
      <c r="O194" s="7"/>
      <c r="Q194" s="7"/>
      <c r="S194" s="7"/>
      <c r="U194" s="7"/>
      <c r="W194" s="7"/>
    </row>
    <row r="195">
      <c r="E195" s="62"/>
      <c r="F195" s="7"/>
      <c r="G195" s="7"/>
      <c r="I195" s="7"/>
      <c r="K195" s="62"/>
      <c r="L195" s="7"/>
      <c r="M195" s="7"/>
      <c r="O195" s="7"/>
      <c r="Q195" s="7"/>
      <c r="S195" s="7"/>
      <c r="U195" s="7"/>
      <c r="W195" s="7"/>
    </row>
    <row r="196">
      <c r="E196" s="62"/>
      <c r="F196" s="7"/>
      <c r="G196" s="7"/>
      <c r="I196" s="7"/>
      <c r="K196" s="62"/>
      <c r="L196" s="7"/>
      <c r="M196" s="7"/>
      <c r="O196" s="7"/>
      <c r="Q196" s="7"/>
      <c r="S196" s="7"/>
      <c r="U196" s="7"/>
      <c r="W196" s="7"/>
    </row>
    <row r="197">
      <c r="E197" s="62"/>
      <c r="F197" s="7"/>
      <c r="G197" s="7"/>
      <c r="I197" s="7"/>
      <c r="K197" s="62"/>
      <c r="L197" s="7"/>
      <c r="M197" s="7"/>
      <c r="O197" s="7"/>
      <c r="Q197" s="7"/>
      <c r="S197" s="7"/>
      <c r="U197" s="7"/>
      <c r="W197" s="7"/>
    </row>
    <row r="198">
      <c r="E198" s="62"/>
      <c r="F198" s="7"/>
      <c r="G198" s="7"/>
      <c r="I198" s="7"/>
      <c r="K198" s="62"/>
      <c r="L198" s="7"/>
      <c r="M198" s="7"/>
      <c r="O198" s="7"/>
      <c r="Q198" s="7"/>
      <c r="S198" s="7"/>
      <c r="U198" s="7"/>
      <c r="W198" s="7"/>
    </row>
    <row r="199">
      <c r="E199" s="62"/>
      <c r="F199" s="7"/>
      <c r="G199" s="7"/>
      <c r="I199" s="7"/>
      <c r="K199" s="62"/>
      <c r="L199" s="7"/>
      <c r="M199" s="7"/>
      <c r="O199" s="7"/>
      <c r="Q199" s="7"/>
      <c r="S199" s="7"/>
      <c r="U199" s="7"/>
      <c r="W199" s="7"/>
    </row>
    <row r="200">
      <c r="E200" s="62"/>
      <c r="F200" s="7"/>
      <c r="G200" s="7"/>
      <c r="I200" s="7"/>
      <c r="K200" s="62"/>
      <c r="L200" s="7"/>
      <c r="M200" s="7"/>
      <c r="O200" s="7"/>
      <c r="Q200" s="7"/>
      <c r="S200" s="7"/>
      <c r="U200" s="7"/>
      <c r="W200" s="7"/>
    </row>
    <row r="201">
      <c r="E201" s="62"/>
      <c r="F201" s="7"/>
      <c r="G201" s="7"/>
      <c r="I201" s="7"/>
      <c r="K201" s="62"/>
      <c r="L201" s="7"/>
      <c r="M201" s="7"/>
      <c r="O201" s="7"/>
      <c r="Q201" s="7"/>
      <c r="S201" s="7"/>
      <c r="U201" s="7"/>
      <c r="W201" s="7"/>
    </row>
    <row r="202">
      <c r="E202" s="62"/>
      <c r="F202" s="7"/>
      <c r="G202" s="7"/>
      <c r="I202" s="7"/>
      <c r="K202" s="62"/>
      <c r="L202" s="7"/>
      <c r="M202" s="7"/>
      <c r="O202" s="7"/>
      <c r="Q202" s="7"/>
      <c r="S202" s="7"/>
      <c r="U202" s="7"/>
      <c r="W202" s="7"/>
    </row>
    <row r="203">
      <c r="E203" s="62"/>
      <c r="F203" s="7"/>
      <c r="G203" s="7"/>
      <c r="I203" s="7"/>
      <c r="K203" s="62"/>
      <c r="L203" s="7"/>
      <c r="M203" s="7"/>
      <c r="O203" s="7"/>
      <c r="Q203" s="7"/>
      <c r="S203" s="7"/>
      <c r="U203" s="7"/>
      <c r="W203" s="7"/>
    </row>
    <row r="204">
      <c r="E204" s="62"/>
      <c r="F204" s="7"/>
      <c r="G204" s="7"/>
      <c r="I204" s="7"/>
      <c r="K204" s="62"/>
      <c r="L204" s="7"/>
      <c r="M204" s="7"/>
      <c r="O204" s="7"/>
      <c r="Q204" s="7"/>
      <c r="S204" s="7"/>
      <c r="U204" s="7"/>
      <c r="W204" s="7"/>
    </row>
    <row r="205">
      <c r="E205" s="62"/>
      <c r="F205" s="7"/>
      <c r="G205" s="7"/>
      <c r="I205" s="7"/>
      <c r="K205" s="62"/>
      <c r="L205" s="7"/>
      <c r="M205" s="7"/>
      <c r="O205" s="7"/>
      <c r="Q205" s="7"/>
      <c r="S205" s="7"/>
      <c r="U205" s="7"/>
      <c r="W205" s="7"/>
    </row>
    <row r="206">
      <c r="E206" s="62"/>
      <c r="F206" s="7"/>
      <c r="G206" s="7"/>
      <c r="I206" s="7"/>
      <c r="K206" s="62"/>
      <c r="L206" s="7"/>
      <c r="M206" s="7"/>
      <c r="O206" s="7"/>
      <c r="Q206" s="7"/>
      <c r="S206" s="7"/>
      <c r="U206" s="7"/>
      <c r="W206" s="7"/>
    </row>
    <row r="207">
      <c r="E207" s="62"/>
      <c r="F207" s="7"/>
      <c r="G207" s="7"/>
      <c r="I207" s="7"/>
      <c r="K207" s="62"/>
      <c r="L207" s="7"/>
      <c r="M207" s="7"/>
      <c r="O207" s="7"/>
      <c r="Q207" s="7"/>
      <c r="S207" s="7"/>
      <c r="U207" s="7"/>
      <c r="W207" s="7"/>
    </row>
    <row r="208">
      <c r="E208" s="62"/>
      <c r="F208" s="7"/>
      <c r="G208" s="7"/>
      <c r="I208" s="7"/>
      <c r="K208" s="62"/>
      <c r="L208" s="7"/>
      <c r="M208" s="7"/>
      <c r="O208" s="7"/>
      <c r="Q208" s="7"/>
      <c r="S208" s="7"/>
      <c r="U208" s="7"/>
      <c r="W208" s="7"/>
    </row>
    <row r="209">
      <c r="E209" s="62"/>
      <c r="F209" s="7"/>
      <c r="G209" s="7"/>
      <c r="I209" s="7"/>
      <c r="K209" s="62"/>
      <c r="L209" s="7"/>
      <c r="M209" s="7"/>
      <c r="O209" s="7"/>
      <c r="Q209" s="7"/>
      <c r="S209" s="7"/>
      <c r="U209" s="7"/>
      <c r="W209" s="7"/>
    </row>
    <row r="210">
      <c r="E210" s="62"/>
      <c r="F210" s="7"/>
      <c r="G210" s="7"/>
      <c r="I210" s="7"/>
      <c r="K210" s="62"/>
      <c r="L210" s="7"/>
      <c r="M210" s="7"/>
      <c r="O210" s="7"/>
      <c r="Q210" s="7"/>
      <c r="S210" s="7"/>
      <c r="U210" s="7"/>
      <c r="W210" s="7"/>
    </row>
    <row r="211">
      <c r="E211" s="62"/>
      <c r="F211" s="7"/>
      <c r="G211" s="7"/>
      <c r="I211" s="7"/>
      <c r="K211" s="62"/>
      <c r="L211" s="7"/>
      <c r="M211" s="7"/>
      <c r="O211" s="7"/>
      <c r="Q211" s="7"/>
      <c r="S211" s="7"/>
      <c r="U211" s="7"/>
      <c r="W211" s="7"/>
    </row>
    <row r="212">
      <c r="E212" s="62"/>
      <c r="F212" s="7"/>
      <c r="G212" s="7"/>
      <c r="I212" s="7"/>
      <c r="K212" s="62"/>
      <c r="L212" s="7"/>
      <c r="M212" s="7"/>
      <c r="O212" s="7"/>
      <c r="Q212" s="7"/>
      <c r="S212" s="7"/>
      <c r="U212" s="7"/>
      <c r="W212" s="7"/>
    </row>
    <row r="213">
      <c r="E213" s="62"/>
      <c r="F213" s="7"/>
      <c r="G213" s="7"/>
      <c r="I213" s="7"/>
      <c r="K213" s="62"/>
      <c r="L213" s="7"/>
      <c r="M213" s="7"/>
      <c r="O213" s="7"/>
      <c r="Q213" s="7"/>
      <c r="S213" s="7"/>
      <c r="U213" s="7"/>
      <c r="W213" s="7"/>
    </row>
    <row r="214">
      <c r="E214" s="62"/>
      <c r="F214" s="7"/>
      <c r="G214" s="7"/>
      <c r="I214" s="7"/>
      <c r="K214" s="62"/>
      <c r="L214" s="7"/>
      <c r="M214" s="7"/>
      <c r="O214" s="7"/>
      <c r="Q214" s="7"/>
      <c r="S214" s="7"/>
      <c r="U214" s="7"/>
      <c r="W214" s="7"/>
    </row>
    <row r="215">
      <c r="E215" s="62"/>
      <c r="F215" s="7"/>
      <c r="G215" s="7"/>
      <c r="I215" s="7"/>
      <c r="K215" s="62"/>
      <c r="L215" s="7"/>
      <c r="M215" s="7"/>
      <c r="O215" s="7"/>
      <c r="Q215" s="7"/>
      <c r="S215" s="7"/>
      <c r="U215" s="7"/>
      <c r="W215" s="7"/>
    </row>
    <row r="216">
      <c r="E216" s="62"/>
      <c r="F216" s="7"/>
      <c r="G216" s="7"/>
      <c r="I216" s="7"/>
      <c r="K216" s="62"/>
      <c r="L216" s="7"/>
      <c r="M216" s="7"/>
      <c r="O216" s="7"/>
      <c r="Q216" s="7"/>
      <c r="S216" s="7"/>
      <c r="U216" s="7"/>
      <c r="W216" s="7"/>
    </row>
    <row r="217">
      <c r="E217" s="62"/>
      <c r="F217" s="7"/>
      <c r="G217" s="7"/>
      <c r="I217" s="7"/>
      <c r="K217" s="62"/>
      <c r="L217" s="7"/>
      <c r="M217" s="7"/>
      <c r="O217" s="7"/>
      <c r="Q217" s="7"/>
      <c r="S217" s="7"/>
      <c r="U217" s="7"/>
      <c r="W217" s="7"/>
    </row>
    <row r="218">
      <c r="E218" s="62"/>
      <c r="F218" s="7"/>
      <c r="G218" s="7"/>
      <c r="I218" s="7"/>
      <c r="K218" s="62"/>
      <c r="L218" s="7"/>
      <c r="M218" s="7"/>
      <c r="O218" s="7"/>
      <c r="Q218" s="7"/>
      <c r="S218" s="7"/>
      <c r="U218" s="7"/>
      <c r="W218" s="7"/>
    </row>
    <row r="219">
      <c r="E219" s="62"/>
      <c r="F219" s="7"/>
      <c r="G219" s="7"/>
      <c r="I219" s="7"/>
      <c r="K219" s="62"/>
      <c r="L219" s="7"/>
      <c r="M219" s="7"/>
      <c r="O219" s="7"/>
      <c r="Q219" s="7"/>
      <c r="S219" s="7"/>
      <c r="U219" s="7"/>
      <c r="W219" s="7"/>
    </row>
    <row r="220">
      <c r="E220" s="62"/>
      <c r="F220" s="7"/>
      <c r="G220" s="7"/>
      <c r="I220" s="7"/>
      <c r="K220" s="62"/>
      <c r="L220" s="7"/>
      <c r="M220" s="7"/>
      <c r="O220" s="7"/>
      <c r="Q220" s="7"/>
      <c r="S220" s="7"/>
      <c r="U220" s="7"/>
      <c r="W220" s="7"/>
    </row>
    <row r="221">
      <c r="E221" s="62"/>
      <c r="F221" s="7"/>
      <c r="G221" s="7"/>
      <c r="I221" s="7"/>
      <c r="K221" s="62"/>
      <c r="L221" s="7"/>
      <c r="M221" s="7"/>
      <c r="O221" s="7"/>
      <c r="Q221" s="7"/>
      <c r="S221" s="7"/>
      <c r="U221" s="7"/>
      <c r="W221" s="7"/>
    </row>
    <row r="222">
      <c r="E222" s="62"/>
      <c r="F222" s="7"/>
      <c r="G222" s="7"/>
      <c r="I222" s="7"/>
      <c r="K222" s="62"/>
      <c r="L222" s="7"/>
      <c r="M222" s="7"/>
      <c r="O222" s="7"/>
      <c r="Q222" s="7"/>
      <c r="S222" s="7"/>
      <c r="U222" s="7"/>
      <c r="W222" s="7"/>
    </row>
    <row r="223">
      <c r="E223" s="62"/>
      <c r="F223" s="7"/>
      <c r="G223" s="7"/>
      <c r="I223" s="7"/>
      <c r="K223" s="62"/>
      <c r="L223" s="7"/>
      <c r="M223" s="7"/>
      <c r="O223" s="7"/>
      <c r="Q223" s="7"/>
      <c r="S223" s="7"/>
      <c r="U223" s="7"/>
      <c r="W223" s="7"/>
    </row>
    <row r="224">
      <c r="E224" s="62"/>
      <c r="F224" s="7"/>
      <c r="G224" s="7"/>
      <c r="I224" s="7"/>
      <c r="K224" s="62"/>
      <c r="L224" s="7"/>
      <c r="M224" s="7"/>
      <c r="O224" s="7"/>
      <c r="Q224" s="7"/>
      <c r="S224" s="7"/>
      <c r="U224" s="7"/>
      <c r="W224" s="7"/>
    </row>
    <row r="225">
      <c r="E225" s="62"/>
      <c r="F225" s="7"/>
      <c r="G225" s="7"/>
      <c r="I225" s="7"/>
      <c r="K225" s="62"/>
      <c r="L225" s="7"/>
      <c r="M225" s="7"/>
      <c r="O225" s="7"/>
      <c r="Q225" s="7"/>
      <c r="S225" s="7"/>
      <c r="U225" s="7"/>
      <c r="W225" s="7"/>
    </row>
    <row r="226">
      <c r="E226" s="62"/>
      <c r="F226" s="7"/>
      <c r="G226" s="7"/>
      <c r="I226" s="7"/>
      <c r="K226" s="62"/>
      <c r="L226" s="7"/>
      <c r="M226" s="7"/>
      <c r="O226" s="7"/>
      <c r="Q226" s="7"/>
      <c r="S226" s="7"/>
      <c r="U226" s="7"/>
      <c r="W226" s="7"/>
    </row>
    <row r="227">
      <c r="E227" s="62"/>
      <c r="F227" s="7"/>
      <c r="G227" s="7"/>
      <c r="I227" s="7"/>
      <c r="K227" s="62"/>
      <c r="L227" s="7"/>
      <c r="M227" s="7"/>
      <c r="O227" s="7"/>
      <c r="Q227" s="7"/>
      <c r="S227" s="7"/>
      <c r="U227" s="7"/>
      <c r="W227" s="7"/>
    </row>
    <row r="228">
      <c r="E228" s="62"/>
      <c r="F228" s="7"/>
      <c r="G228" s="7"/>
      <c r="I228" s="7"/>
      <c r="K228" s="62"/>
      <c r="L228" s="7"/>
      <c r="M228" s="7"/>
      <c r="O228" s="7"/>
      <c r="Q228" s="7"/>
      <c r="S228" s="7"/>
      <c r="U228" s="7"/>
      <c r="W228" s="7"/>
    </row>
    <row r="229">
      <c r="E229" s="62"/>
      <c r="F229" s="7"/>
      <c r="G229" s="7"/>
      <c r="I229" s="7"/>
      <c r="K229" s="62"/>
      <c r="L229" s="7"/>
      <c r="M229" s="7"/>
      <c r="O229" s="7"/>
      <c r="Q229" s="7"/>
      <c r="S229" s="7"/>
      <c r="U229" s="7"/>
      <c r="W229" s="7"/>
    </row>
    <row r="230">
      <c r="E230" s="62"/>
      <c r="F230" s="7"/>
      <c r="G230" s="7"/>
      <c r="I230" s="7"/>
      <c r="K230" s="62"/>
      <c r="L230" s="7"/>
      <c r="M230" s="7"/>
      <c r="O230" s="7"/>
      <c r="Q230" s="7"/>
      <c r="S230" s="7"/>
      <c r="U230" s="7"/>
      <c r="W230" s="7"/>
    </row>
    <row r="231">
      <c r="E231" s="62"/>
      <c r="F231" s="7"/>
      <c r="G231" s="7"/>
      <c r="I231" s="7"/>
      <c r="K231" s="62"/>
      <c r="L231" s="7"/>
      <c r="M231" s="7"/>
      <c r="O231" s="7"/>
      <c r="Q231" s="7"/>
      <c r="S231" s="7"/>
      <c r="U231" s="7"/>
      <c r="W231" s="7"/>
    </row>
    <row r="232">
      <c r="E232" s="62"/>
      <c r="F232" s="7"/>
      <c r="G232" s="7"/>
      <c r="I232" s="7"/>
      <c r="K232" s="62"/>
      <c r="L232" s="7"/>
      <c r="M232" s="7"/>
      <c r="O232" s="7"/>
      <c r="Q232" s="7"/>
      <c r="S232" s="7"/>
      <c r="U232" s="7"/>
      <c r="W232" s="7"/>
    </row>
    <row r="233">
      <c r="E233" s="62"/>
      <c r="F233" s="7"/>
      <c r="G233" s="7"/>
      <c r="I233" s="7"/>
      <c r="K233" s="62"/>
      <c r="L233" s="7"/>
      <c r="M233" s="7"/>
      <c r="O233" s="7"/>
      <c r="Q233" s="7"/>
      <c r="S233" s="7"/>
      <c r="U233" s="7"/>
      <c r="W233" s="7"/>
    </row>
    <row r="234">
      <c r="E234" s="62"/>
      <c r="F234" s="7"/>
      <c r="G234" s="7"/>
      <c r="I234" s="7"/>
      <c r="K234" s="62"/>
      <c r="L234" s="7"/>
      <c r="M234" s="7"/>
      <c r="O234" s="7"/>
      <c r="Q234" s="7"/>
      <c r="S234" s="7"/>
      <c r="U234" s="7"/>
      <c r="W234" s="7"/>
    </row>
    <row r="235">
      <c r="E235" s="62"/>
      <c r="F235" s="7"/>
      <c r="G235" s="7"/>
      <c r="I235" s="7"/>
      <c r="K235" s="62"/>
      <c r="L235" s="7"/>
      <c r="M235" s="7"/>
      <c r="O235" s="7"/>
      <c r="Q235" s="7"/>
      <c r="S235" s="7"/>
      <c r="U235" s="7"/>
      <c r="W235" s="7"/>
    </row>
    <row r="236">
      <c r="E236" s="62"/>
      <c r="F236" s="7"/>
      <c r="G236" s="7"/>
      <c r="I236" s="7"/>
      <c r="K236" s="62"/>
      <c r="L236" s="7"/>
      <c r="M236" s="7"/>
      <c r="O236" s="7"/>
      <c r="Q236" s="7"/>
      <c r="S236" s="7"/>
      <c r="U236" s="7"/>
      <c r="W236" s="7"/>
    </row>
    <row r="237">
      <c r="E237" s="62"/>
      <c r="F237" s="7"/>
      <c r="G237" s="7"/>
      <c r="I237" s="7"/>
      <c r="K237" s="62"/>
      <c r="L237" s="7"/>
      <c r="M237" s="7"/>
      <c r="O237" s="7"/>
      <c r="Q237" s="7"/>
      <c r="S237" s="7"/>
      <c r="U237" s="7"/>
      <c r="W237" s="7"/>
    </row>
    <row r="238">
      <c r="E238" s="62"/>
      <c r="F238" s="7"/>
      <c r="G238" s="7"/>
      <c r="I238" s="7"/>
      <c r="K238" s="62"/>
      <c r="L238" s="7"/>
      <c r="M238" s="7"/>
      <c r="O238" s="7"/>
      <c r="Q238" s="7"/>
      <c r="S238" s="7"/>
      <c r="U238" s="7"/>
      <c r="W238" s="7"/>
    </row>
    <row r="239">
      <c r="E239" s="62"/>
      <c r="F239" s="7"/>
      <c r="G239" s="7"/>
      <c r="I239" s="7"/>
      <c r="K239" s="62"/>
      <c r="L239" s="7"/>
      <c r="M239" s="7"/>
      <c r="O239" s="7"/>
      <c r="Q239" s="7"/>
      <c r="S239" s="7"/>
      <c r="U239" s="7"/>
      <c r="W239" s="7"/>
    </row>
    <row r="240">
      <c r="E240" s="62"/>
      <c r="F240" s="7"/>
      <c r="G240" s="7"/>
      <c r="I240" s="7"/>
      <c r="K240" s="62"/>
      <c r="L240" s="7"/>
      <c r="M240" s="7"/>
      <c r="O240" s="7"/>
      <c r="Q240" s="7"/>
      <c r="S240" s="7"/>
      <c r="U240" s="7"/>
      <c r="W240" s="7"/>
    </row>
    <row r="241">
      <c r="E241" s="62"/>
      <c r="F241" s="7"/>
      <c r="G241" s="7"/>
      <c r="I241" s="7"/>
      <c r="K241" s="62"/>
      <c r="L241" s="7"/>
      <c r="M241" s="7"/>
      <c r="O241" s="7"/>
      <c r="Q241" s="7"/>
      <c r="S241" s="7"/>
      <c r="U241" s="7"/>
      <c r="W241" s="7"/>
    </row>
    <row r="242">
      <c r="E242" s="62"/>
      <c r="F242" s="7"/>
      <c r="G242" s="7"/>
      <c r="I242" s="7"/>
      <c r="K242" s="62"/>
      <c r="L242" s="7"/>
      <c r="M242" s="7"/>
      <c r="O242" s="7"/>
      <c r="Q242" s="7"/>
      <c r="S242" s="7"/>
      <c r="U242" s="7"/>
      <c r="W242" s="7"/>
    </row>
    <row r="243">
      <c r="E243" s="62"/>
      <c r="F243" s="7"/>
      <c r="G243" s="7"/>
      <c r="I243" s="7"/>
      <c r="K243" s="62"/>
      <c r="L243" s="7"/>
      <c r="M243" s="7"/>
      <c r="O243" s="7"/>
      <c r="Q243" s="7"/>
      <c r="S243" s="7"/>
      <c r="U243" s="7"/>
      <c r="W243" s="7"/>
    </row>
    <row r="244">
      <c r="E244" s="62"/>
      <c r="F244" s="7"/>
      <c r="G244" s="7"/>
      <c r="I244" s="7"/>
      <c r="K244" s="62"/>
      <c r="L244" s="7"/>
      <c r="M244" s="7"/>
      <c r="O244" s="7"/>
      <c r="Q244" s="7"/>
      <c r="S244" s="7"/>
      <c r="U244" s="7"/>
      <c r="W244" s="7"/>
    </row>
    <row r="245">
      <c r="E245" s="62"/>
      <c r="F245" s="7"/>
      <c r="G245" s="7"/>
      <c r="I245" s="7"/>
      <c r="K245" s="62"/>
      <c r="L245" s="7"/>
      <c r="M245" s="7"/>
      <c r="O245" s="7"/>
      <c r="Q245" s="7"/>
      <c r="S245" s="7"/>
      <c r="U245" s="7"/>
      <c r="W245" s="7"/>
    </row>
    <row r="246">
      <c r="E246" s="62"/>
      <c r="F246" s="7"/>
      <c r="G246" s="7"/>
      <c r="I246" s="7"/>
      <c r="K246" s="62"/>
      <c r="L246" s="7"/>
      <c r="M246" s="7"/>
      <c r="O246" s="7"/>
      <c r="Q246" s="7"/>
      <c r="S246" s="7"/>
      <c r="U246" s="7"/>
      <c r="W246" s="7"/>
    </row>
    <row r="247">
      <c r="E247" s="62"/>
      <c r="F247" s="7"/>
      <c r="G247" s="7"/>
      <c r="I247" s="7"/>
      <c r="K247" s="62"/>
      <c r="L247" s="7"/>
      <c r="M247" s="7"/>
      <c r="O247" s="7"/>
      <c r="Q247" s="7"/>
      <c r="S247" s="7"/>
      <c r="U247" s="7"/>
      <c r="W247" s="7"/>
    </row>
    <row r="248">
      <c r="E248" s="62"/>
      <c r="F248" s="7"/>
      <c r="G248" s="7"/>
      <c r="I248" s="7"/>
      <c r="K248" s="62"/>
      <c r="L248" s="7"/>
      <c r="M248" s="7"/>
      <c r="O248" s="7"/>
      <c r="Q248" s="7"/>
      <c r="S248" s="7"/>
      <c r="U248" s="7"/>
      <c r="W248" s="7"/>
    </row>
    <row r="249">
      <c r="E249" s="62"/>
      <c r="F249" s="7"/>
      <c r="G249" s="7"/>
      <c r="I249" s="7"/>
      <c r="K249" s="62"/>
      <c r="L249" s="7"/>
      <c r="M249" s="7"/>
      <c r="O249" s="7"/>
      <c r="Q249" s="7"/>
      <c r="S249" s="7"/>
      <c r="U249" s="7"/>
      <c r="W249" s="7"/>
    </row>
    <row r="250">
      <c r="E250" s="62"/>
      <c r="F250" s="7"/>
      <c r="G250" s="7"/>
      <c r="I250" s="7"/>
      <c r="K250" s="62"/>
      <c r="L250" s="7"/>
      <c r="M250" s="7"/>
      <c r="O250" s="7"/>
      <c r="Q250" s="7"/>
      <c r="S250" s="7"/>
      <c r="U250" s="7"/>
      <c r="W250" s="7"/>
    </row>
    <row r="251">
      <c r="E251" s="62"/>
      <c r="F251" s="7"/>
      <c r="G251" s="7"/>
      <c r="I251" s="7"/>
      <c r="K251" s="62"/>
      <c r="L251" s="7"/>
      <c r="M251" s="7"/>
      <c r="O251" s="7"/>
      <c r="Q251" s="7"/>
      <c r="S251" s="7"/>
      <c r="U251" s="7"/>
      <c r="W251" s="7"/>
    </row>
    <row r="252">
      <c r="E252" s="62"/>
      <c r="F252" s="7"/>
      <c r="G252" s="7"/>
      <c r="I252" s="7"/>
      <c r="K252" s="62"/>
      <c r="L252" s="7"/>
      <c r="M252" s="7"/>
      <c r="O252" s="7"/>
      <c r="Q252" s="7"/>
      <c r="S252" s="7"/>
      <c r="U252" s="7"/>
      <c r="W252" s="7"/>
    </row>
    <row r="253">
      <c r="E253" s="62"/>
      <c r="F253" s="7"/>
      <c r="G253" s="7"/>
      <c r="I253" s="7"/>
      <c r="K253" s="62"/>
      <c r="L253" s="7"/>
      <c r="M253" s="7"/>
      <c r="O253" s="7"/>
      <c r="Q253" s="7"/>
      <c r="S253" s="7"/>
      <c r="U253" s="7"/>
      <c r="W253" s="7"/>
    </row>
    <row r="254">
      <c r="E254" s="62"/>
      <c r="F254" s="7"/>
      <c r="G254" s="7"/>
      <c r="I254" s="7"/>
      <c r="K254" s="62"/>
      <c r="L254" s="7"/>
      <c r="M254" s="7"/>
      <c r="O254" s="7"/>
      <c r="Q254" s="7"/>
      <c r="S254" s="7"/>
      <c r="U254" s="7"/>
      <c r="W254" s="7"/>
    </row>
    <row r="255">
      <c r="E255" s="62"/>
      <c r="F255" s="7"/>
      <c r="G255" s="7"/>
      <c r="I255" s="7"/>
      <c r="K255" s="62"/>
      <c r="L255" s="7"/>
      <c r="M255" s="7"/>
      <c r="O255" s="7"/>
      <c r="Q255" s="7"/>
      <c r="S255" s="7"/>
      <c r="U255" s="7"/>
      <c r="W255" s="7"/>
    </row>
    <row r="256">
      <c r="E256" s="62"/>
      <c r="F256" s="7"/>
      <c r="G256" s="7"/>
      <c r="I256" s="7"/>
      <c r="K256" s="62"/>
      <c r="L256" s="7"/>
      <c r="M256" s="7"/>
      <c r="O256" s="7"/>
      <c r="Q256" s="7"/>
      <c r="S256" s="7"/>
      <c r="U256" s="7"/>
      <c r="W256" s="7"/>
    </row>
    <row r="257">
      <c r="E257" s="62"/>
      <c r="F257" s="7"/>
      <c r="G257" s="7"/>
      <c r="I257" s="7"/>
      <c r="K257" s="62"/>
      <c r="L257" s="7"/>
      <c r="M257" s="7"/>
      <c r="O257" s="7"/>
      <c r="Q257" s="7"/>
      <c r="S257" s="7"/>
      <c r="U257" s="7"/>
      <c r="W257" s="7"/>
    </row>
    <row r="258">
      <c r="E258" s="62"/>
      <c r="F258" s="7"/>
      <c r="G258" s="7"/>
      <c r="I258" s="7"/>
      <c r="K258" s="62"/>
      <c r="L258" s="7"/>
      <c r="M258" s="7"/>
      <c r="O258" s="7"/>
      <c r="Q258" s="7"/>
      <c r="S258" s="7"/>
      <c r="U258" s="7"/>
      <c r="W258" s="7"/>
    </row>
    <row r="259">
      <c r="E259" s="62"/>
      <c r="F259" s="7"/>
      <c r="G259" s="7"/>
      <c r="I259" s="7"/>
      <c r="K259" s="62"/>
      <c r="L259" s="7"/>
      <c r="M259" s="7"/>
      <c r="O259" s="7"/>
      <c r="Q259" s="7"/>
      <c r="S259" s="7"/>
      <c r="U259" s="7"/>
      <c r="W259" s="7"/>
    </row>
    <row r="260">
      <c r="E260" s="62"/>
      <c r="F260" s="7"/>
      <c r="G260" s="7"/>
      <c r="I260" s="7"/>
      <c r="K260" s="62"/>
      <c r="L260" s="7"/>
      <c r="M260" s="7"/>
      <c r="O260" s="7"/>
      <c r="Q260" s="7"/>
      <c r="S260" s="7"/>
      <c r="U260" s="7"/>
      <c r="W260" s="7"/>
    </row>
    <row r="261">
      <c r="E261" s="62"/>
      <c r="F261" s="7"/>
      <c r="G261" s="7"/>
      <c r="I261" s="7"/>
      <c r="K261" s="62"/>
      <c r="L261" s="7"/>
      <c r="M261" s="7"/>
      <c r="O261" s="7"/>
      <c r="Q261" s="7"/>
      <c r="S261" s="7"/>
      <c r="U261" s="7"/>
      <c r="W261" s="7"/>
    </row>
    <row r="262">
      <c r="E262" s="62"/>
      <c r="F262" s="7"/>
      <c r="G262" s="7"/>
      <c r="I262" s="7"/>
      <c r="K262" s="62"/>
      <c r="L262" s="7"/>
      <c r="M262" s="7"/>
      <c r="O262" s="7"/>
      <c r="Q262" s="7"/>
      <c r="S262" s="7"/>
      <c r="U262" s="7"/>
      <c r="W262" s="7"/>
    </row>
    <row r="263">
      <c r="E263" s="62"/>
      <c r="F263" s="7"/>
      <c r="G263" s="7"/>
      <c r="I263" s="7"/>
      <c r="K263" s="62"/>
      <c r="L263" s="7"/>
      <c r="M263" s="7"/>
      <c r="O263" s="7"/>
      <c r="Q263" s="7"/>
      <c r="S263" s="7"/>
      <c r="U263" s="7"/>
      <c r="W263" s="7"/>
    </row>
    <row r="264">
      <c r="E264" s="62"/>
      <c r="F264" s="7"/>
      <c r="G264" s="7"/>
      <c r="I264" s="7"/>
      <c r="K264" s="62"/>
      <c r="L264" s="7"/>
      <c r="M264" s="7"/>
      <c r="O264" s="7"/>
      <c r="Q264" s="7"/>
      <c r="S264" s="7"/>
      <c r="U264" s="7"/>
      <c r="W264" s="7"/>
    </row>
    <row r="265">
      <c r="E265" s="62"/>
      <c r="F265" s="7"/>
      <c r="G265" s="7"/>
      <c r="I265" s="7"/>
      <c r="K265" s="62"/>
      <c r="L265" s="7"/>
      <c r="M265" s="7"/>
      <c r="O265" s="7"/>
      <c r="Q265" s="7"/>
      <c r="S265" s="7"/>
      <c r="U265" s="7"/>
      <c r="W265" s="7"/>
    </row>
    <row r="266">
      <c r="E266" s="62"/>
      <c r="F266" s="7"/>
      <c r="G266" s="7"/>
      <c r="I266" s="7"/>
      <c r="K266" s="62"/>
      <c r="L266" s="7"/>
      <c r="M266" s="7"/>
      <c r="O266" s="7"/>
      <c r="Q266" s="7"/>
      <c r="S266" s="7"/>
      <c r="U266" s="7"/>
      <c r="W266" s="7"/>
    </row>
    <row r="267">
      <c r="E267" s="62"/>
      <c r="F267" s="7"/>
      <c r="G267" s="7"/>
      <c r="I267" s="7"/>
      <c r="K267" s="62"/>
      <c r="L267" s="7"/>
      <c r="M267" s="7"/>
      <c r="O267" s="7"/>
      <c r="Q267" s="7"/>
      <c r="S267" s="7"/>
      <c r="U267" s="7"/>
      <c r="W267" s="7"/>
    </row>
    <row r="268">
      <c r="E268" s="62"/>
      <c r="F268" s="7"/>
      <c r="G268" s="7"/>
      <c r="I268" s="7"/>
      <c r="K268" s="62"/>
      <c r="L268" s="7"/>
      <c r="M268" s="7"/>
      <c r="O268" s="7"/>
      <c r="Q268" s="7"/>
      <c r="S268" s="7"/>
      <c r="U268" s="7"/>
      <c r="W268" s="7"/>
    </row>
    <row r="269">
      <c r="E269" s="62"/>
      <c r="F269" s="7"/>
      <c r="G269" s="7"/>
      <c r="I269" s="7"/>
      <c r="K269" s="62"/>
      <c r="L269" s="7"/>
      <c r="M269" s="7"/>
      <c r="O269" s="7"/>
      <c r="Q269" s="7"/>
      <c r="S269" s="7"/>
      <c r="U269" s="7"/>
      <c r="W269" s="7"/>
    </row>
    <row r="270">
      <c r="E270" s="62"/>
      <c r="F270" s="7"/>
      <c r="G270" s="7"/>
      <c r="I270" s="7"/>
      <c r="K270" s="62"/>
      <c r="L270" s="7"/>
      <c r="M270" s="7"/>
      <c r="O270" s="7"/>
      <c r="Q270" s="7"/>
      <c r="S270" s="7"/>
      <c r="U270" s="7"/>
      <c r="W270" s="7"/>
    </row>
    <row r="271">
      <c r="E271" s="62"/>
      <c r="F271" s="7"/>
      <c r="G271" s="7"/>
      <c r="I271" s="7"/>
      <c r="K271" s="62"/>
      <c r="L271" s="7"/>
      <c r="M271" s="7"/>
      <c r="O271" s="7"/>
      <c r="Q271" s="7"/>
      <c r="S271" s="7"/>
      <c r="U271" s="7"/>
      <c r="W271" s="7"/>
    </row>
    <row r="272">
      <c r="E272" s="62"/>
      <c r="F272" s="7"/>
      <c r="G272" s="7"/>
      <c r="I272" s="7"/>
      <c r="K272" s="62"/>
      <c r="L272" s="7"/>
      <c r="M272" s="7"/>
      <c r="O272" s="7"/>
      <c r="Q272" s="7"/>
      <c r="S272" s="7"/>
      <c r="U272" s="7"/>
      <c r="W272" s="7"/>
    </row>
    <row r="273">
      <c r="E273" s="62"/>
      <c r="F273" s="7"/>
      <c r="G273" s="7"/>
      <c r="I273" s="7"/>
      <c r="K273" s="62"/>
      <c r="L273" s="7"/>
      <c r="M273" s="7"/>
      <c r="O273" s="7"/>
      <c r="Q273" s="7"/>
      <c r="S273" s="7"/>
      <c r="U273" s="7"/>
      <c r="W273" s="7"/>
    </row>
    <row r="274">
      <c r="E274" s="62"/>
      <c r="F274" s="7"/>
      <c r="G274" s="7"/>
      <c r="I274" s="7"/>
      <c r="K274" s="62"/>
      <c r="L274" s="7"/>
      <c r="M274" s="7"/>
      <c r="O274" s="7"/>
      <c r="Q274" s="7"/>
      <c r="S274" s="7"/>
      <c r="U274" s="7"/>
      <c r="W274" s="7"/>
    </row>
    <row r="275">
      <c r="E275" s="62"/>
      <c r="F275" s="7"/>
      <c r="G275" s="7"/>
      <c r="I275" s="7"/>
      <c r="K275" s="62"/>
      <c r="L275" s="7"/>
      <c r="M275" s="7"/>
      <c r="O275" s="7"/>
      <c r="Q275" s="7"/>
      <c r="S275" s="7"/>
      <c r="U275" s="7"/>
      <c r="W275" s="7"/>
    </row>
    <row r="276">
      <c r="E276" s="62"/>
      <c r="F276" s="7"/>
      <c r="G276" s="7"/>
      <c r="I276" s="7"/>
      <c r="K276" s="62"/>
      <c r="L276" s="7"/>
      <c r="M276" s="7"/>
      <c r="O276" s="7"/>
      <c r="Q276" s="7"/>
      <c r="S276" s="7"/>
      <c r="U276" s="7"/>
      <c r="W276" s="7"/>
    </row>
    <row r="277">
      <c r="E277" s="62"/>
      <c r="F277" s="7"/>
      <c r="G277" s="7"/>
      <c r="I277" s="7"/>
      <c r="K277" s="62"/>
      <c r="L277" s="7"/>
      <c r="M277" s="7"/>
      <c r="O277" s="7"/>
      <c r="Q277" s="7"/>
      <c r="S277" s="7"/>
      <c r="U277" s="7"/>
      <c r="W277" s="7"/>
    </row>
    <row r="278">
      <c r="E278" s="62"/>
      <c r="F278" s="7"/>
      <c r="G278" s="7"/>
      <c r="I278" s="7"/>
      <c r="K278" s="62"/>
      <c r="L278" s="7"/>
      <c r="M278" s="7"/>
      <c r="O278" s="7"/>
      <c r="Q278" s="7"/>
      <c r="S278" s="7"/>
      <c r="U278" s="7"/>
      <c r="W278" s="7"/>
    </row>
    <row r="279">
      <c r="E279" s="62"/>
      <c r="F279" s="7"/>
      <c r="G279" s="7"/>
      <c r="I279" s="7"/>
      <c r="K279" s="62"/>
      <c r="L279" s="7"/>
      <c r="M279" s="7"/>
      <c r="O279" s="7"/>
      <c r="Q279" s="7"/>
      <c r="S279" s="7"/>
      <c r="U279" s="7"/>
      <c r="W279" s="7"/>
    </row>
    <row r="280">
      <c r="E280" s="62"/>
      <c r="F280" s="7"/>
      <c r="G280" s="7"/>
      <c r="I280" s="7"/>
      <c r="K280" s="62"/>
      <c r="L280" s="7"/>
      <c r="M280" s="7"/>
      <c r="O280" s="7"/>
      <c r="Q280" s="7"/>
      <c r="S280" s="7"/>
      <c r="U280" s="7"/>
      <c r="W280" s="7"/>
    </row>
    <row r="281">
      <c r="E281" s="62"/>
      <c r="F281" s="7"/>
      <c r="G281" s="7"/>
      <c r="I281" s="7"/>
      <c r="K281" s="62"/>
      <c r="L281" s="7"/>
      <c r="M281" s="7"/>
      <c r="O281" s="7"/>
      <c r="Q281" s="7"/>
      <c r="S281" s="7"/>
      <c r="U281" s="7"/>
      <c r="W281" s="7"/>
    </row>
    <row r="282">
      <c r="E282" s="62"/>
      <c r="F282" s="7"/>
      <c r="G282" s="7"/>
      <c r="I282" s="7"/>
      <c r="K282" s="62"/>
      <c r="L282" s="7"/>
      <c r="M282" s="7"/>
      <c r="O282" s="7"/>
      <c r="Q282" s="7"/>
      <c r="S282" s="7"/>
      <c r="U282" s="7"/>
      <c r="W282" s="7"/>
    </row>
    <row r="283">
      <c r="E283" s="62"/>
      <c r="F283" s="7"/>
      <c r="G283" s="7"/>
      <c r="I283" s="7"/>
      <c r="K283" s="62"/>
      <c r="L283" s="7"/>
      <c r="M283" s="7"/>
      <c r="O283" s="7"/>
      <c r="Q283" s="7"/>
      <c r="S283" s="7"/>
      <c r="U283" s="7"/>
      <c r="W283" s="7"/>
    </row>
    <row r="284">
      <c r="E284" s="62"/>
      <c r="F284" s="7"/>
      <c r="G284" s="7"/>
      <c r="I284" s="7"/>
      <c r="K284" s="62"/>
      <c r="L284" s="7"/>
      <c r="M284" s="7"/>
      <c r="O284" s="7"/>
      <c r="Q284" s="7"/>
      <c r="S284" s="7"/>
      <c r="U284" s="7"/>
      <c r="W284" s="7"/>
    </row>
    <row r="285">
      <c r="E285" s="62"/>
      <c r="F285" s="7"/>
      <c r="G285" s="7"/>
      <c r="I285" s="7"/>
      <c r="K285" s="62"/>
      <c r="L285" s="7"/>
      <c r="M285" s="7"/>
      <c r="O285" s="7"/>
      <c r="Q285" s="7"/>
      <c r="S285" s="7"/>
      <c r="U285" s="7"/>
      <c r="W285" s="7"/>
    </row>
    <row r="286">
      <c r="E286" s="62"/>
      <c r="F286" s="7"/>
      <c r="G286" s="7"/>
      <c r="I286" s="7"/>
      <c r="K286" s="62"/>
      <c r="L286" s="7"/>
      <c r="M286" s="7"/>
      <c r="O286" s="7"/>
      <c r="Q286" s="7"/>
      <c r="S286" s="7"/>
      <c r="U286" s="7"/>
      <c r="W286" s="7"/>
    </row>
    <row r="287">
      <c r="E287" s="62"/>
      <c r="F287" s="7"/>
      <c r="G287" s="7"/>
      <c r="I287" s="7"/>
      <c r="K287" s="62"/>
      <c r="L287" s="7"/>
      <c r="M287" s="7"/>
      <c r="O287" s="7"/>
      <c r="Q287" s="7"/>
      <c r="S287" s="7"/>
      <c r="U287" s="7"/>
      <c r="W287" s="7"/>
    </row>
    <row r="288">
      <c r="E288" s="62"/>
      <c r="F288" s="7"/>
      <c r="G288" s="7"/>
      <c r="I288" s="7"/>
      <c r="K288" s="62"/>
      <c r="L288" s="7"/>
      <c r="M288" s="7"/>
      <c r="O288" s="7"/>
      <c r="Q288" s="7"/>
      <c r="S288" s="7"/>
      <c r="U288" s="7"/>
      <c r="W288" s="7"/>
    </row>
    <row r="289">
      <c r="E289" s="62"/>
      <c r="F289" s="7"/>
      <c r="G289" s="7"/>
      <c r="I289" s="7"/>
      <c r="K289" s="62"/>
      <c r="L289" s="7"/>
      <c r="M289" s="7"/>
      <c r="O289" s="7"/>
      <c r="Q289" s="7"/>
      <c r="S289" s="7"/>
      <c r="U289" s="7"/>
      <c r="W289" s="7"/>
    </row>
    <row r="290">
      <c r="E290" s="62"/>
      <c r="F290" s="7"/>
      <c r="G290" s="7"/>
      <c r="I290" s="7"/>
      <c r="K290" s="62"/>
      <c r="L290" s="7"/>
      <c r="M290" s="7"/>
      <c r="O290" s="7"/>
      <c r="Q290" s="7"/>
      <c r="S290" s="7"/>
      <c r="U290" s="7"/>
      <c r="W290" s="7"/>
    </row>
    <row r="291">
      <c r="E291" s="62"/>
      <c r="F291" s="7"/>
      <c r="G291" s="7"/>
      <c r="I291" s="7"/>
      <c r="K291" s="62"/>
      <c r="L291" s="7"/>
      <c r="M291" s="7"/>
      <c r="O291" s="7"/>
      <c r="Q291" s="7"/>
      <c r="S291" s="7"/>
      <c r="U291" s="7"/>
      <c r="W291" s="7"/>
    </row>
    <row r="292">
      <c r="E292" s="62"/>
      <c r="F292" s="7"/>
      <c r="G292" s="7"/>
      <c r="I292" s="7"/>
      <c r="K292" s="62"/>
      <c r="L292" s="7"/>
      <c r="M292" s="7"/>
      <c r="O292" s="7"/>
      <c r="Q292" s="7"/>
      <c r="S292" s="7"/>
      <c r="U292" s="7"/>
      <c r="W292" s="7"/>
    </row>
    <row r="293">
      <c r="E293" s="62"/>
      <c r="F293" s="7"/>
      <c r="G293" s="7"/>
      <c r="I293" s="7"/>
      <c r="K293" s="62"/>
      <c r="L293" s="7"/>
      <c r="M293" s="7"/>
      <c r="O293" s="7"/>
      <c r="Q293" s="7"/>
      <c r="S293" s="7"/>
      <c r="U293" s="7"/>
      <c r="W293" s="7"/>
    </row>
    <row r="294">
      <c r="E294" s="62"/>
      <c r="F294" s="7"/>
      <c r="G294" s="7"/>
      <c r="I294" s="7"/>
      <c r="K294" s="62"/>
      <c r="L294" s="7"/>
      <c r="M294" s="7"/>
      <c r="O294" s="7"/>
      <c r="Q294" s="7"/>
      <c r="S294" s="7"/>
      <c r="U294" s="7"/>
      <c r="W294" s="7"/>
    </row>
    <row r="295">
      <c r="E295" s="62"/>
      <c r="F295" s="7"/>
      <c r="G295" s="7"/>
      <c r="I295" s="7"/>
      <c r="K295" s="62"/>
      <c r="L295" s="7"/>
      <c r="M295" s="7"/>
      <c r="O295" s="7"/>
      <c r="Q295" s="7"/>
      <c r="S295" s="7"/>
      <c r="U295" s="7"/>
      <c r="W295" s="7"/>
    </row>
    <row r="296">
      <c r="E296" s="62"/>
      <c r="F296" s="7"/>
      <c r="G296" s="7"/>
      <c r="I296" s="7"/>
      <c r="K296" s="62"/>
      <c r="L296" s="7"/>
      <c r="M296" s="7"/>
      <c r="O296" s="7"/>
      <c r="Q296" s="7"/>
      <c r="S296" s="7"/>
      <c r="U296" s="7"/>
      <c r="W296" s="7"/>
    </row>
    <row r="297">
      <c r="E297" s="62"/>
      <c r="F297" s="7"/>
      <c r="G297" s="7"/>
      <c r="I297" s="7"/>
      <c r="K297" s="62"/>
      <c r="L297" s="7"/>
      <c r="M297" s="7"/>
      <c r="O297" s="7"/>
      <c r="Q297" s="7"/>
      <c r="S297" s="7"/>
      <c r="U297" s="7"/>
      <c r="W297" s="7"/>
    </row>
    <row r="298">
      <c r="E298" s="62"/>
      <c r="F298" s="7"/>
      <c r="G298" s="7"/>
      <c r="I298" s="7"/>
      <c r="K298" s="62"/>
      <c r="L298" s="7"/>
      <c r="M298" s="7"/>
      <c r="O298" s="7"/>
      <c r="Q298" s="7"/>
      <c r="S298" s="7"/>
      <c r="U298" s="7"/>
      <c r="W298" s="7"/>
    </row>
    <row r="299">
      <c r="E299" s="62"/>
      <c r="F299" s="7"/>
      <c r="G299" s="7"/>
      <c r="I299" s="7"/>
      <c r="K299" s="62"/>
      <c r="L299" s="7"/>
      <c r="M299" s="7"/>
      <c r="O299" s="7"/>
      <c r="Q299" s="7"/>
      <c r="S299" s="7"/>
      <c r="U299" s="7"/>
      <c r="W299" s="7"/>
    </row>
    <row r="300">
      <c r="E300" s="62"/>
      <c r="F300" s="7"/>
      <c r="G300" s="7"/>
      <c r="I300" s="7"/>
      <c r="K300" s="62"/>
      <c r="L300" s="7"/>
      <c r="M300" s="7"/>
      <c r="O300" s="7"/>
      <c r="Q300" s="7"/>
      <c r="S300" s="7"/>
      <c r="U300" s="7"/>
      <c r="W300" s="7"/>
    </row>
    <row r="301">
      <c r="E301" s="62"/>
      <c r="F301" s="7"/>
      <c r="G301" s="7"/>
      <c r="I301" s="7"/>
      <c r="K301" s="62"/>
      <c r="L301" s="7"/>
      <c r="M301" s="7"/>
      <c r="O301" s="7"/>
      <c r="Q301" s="7"/>
      <c r="S301" s="7"/>
      <c r="U301" s="7"/>
      <c r="W301" s="7"/>
    </row>
    <row r="302">
      <c r="E302" s="62"/>
      <c r="F302" s="7"/>
      <c r="G302" s="7"/>
      <c r="I302" s="7"/>
      <c r="K302" s="62"/>
      <c r="L302" s="7"/>
      <c r="M302" s="7"/>
      <c r="O302" s="7"/>
      <c r="Q302" s="7"/>
      <c r="S302" s="7"/>
      <c r="U302" s="7"/>
      <c r="W302" s="7"/>
    </row>
    <row r="303">
      <c r="E303" s="62"/>
      <c r="F303" s="7"/>
      <c r="G303" s="7"/>
      <c r="I303" s="7"/>
      <c r="K303" s="62"/>
      <c r="L303" s="7"/>
      <c r="M303" s="7"/>
      <c r="O303" s="7"/>
      <c r="Q303" s="7"/>
      <c r="S303" s="7"/>
      <c r="U303" s="7"/>
      <c r="W303" s="7"/>
    </row>
    <row r="304">
      <c r="E304" s="62"/>
      <c r="F304" s="7"/>
      <c r="G304" s="7"/>
      <c r="I304" s="7"/>
      <c r="K304" s="62"/>
      <c r="L304" s="7"/>
      <c r="M304" s="7"/>
      <c r="O304" s="7"/>
      <c r="Q304" s="7"/>
      <c r="S304" s="7"/>
      <c r="U304" s="7"/>
      <c r="W304" s="7"/>
    </row>
    <row r="305">
      <c r="E305" s="62"/>
      <c r="F305" s="7"/>
      <c r="G305" s="7"/>
      <c r="I305" s="7"/>
      <c r="K305" s="62"/>
      <c r="L305" s="7"/>
      <c r="M305" s="7"/>
      <c r="O305" s="7"/>
      <c r="Q305" s="7"/>
      <c r="S305" s="7"/>
      <c r="U305" s="7"/>
      <c r="W305" s="7"/>
    </row>
    <row r="306">
      <c r="E306" s="62"/>
      <c r="F306" s="7"/>
      <c r="G306" s="7"/>
      <c r="I306" s="7"/>
      <c r="K306" s="62"/>
      <c r="L306" s="7"/>
      <c r="M306" s="7"/>
      <c r="O306" s="7"/>
      <c r="Q306" s="7"/>
      <c r="S306" s="7"/>
      <c r="U306" s="7"/>
      <c r="W306" s="7"/>
    </row>
    <row r="307">
      <c r="E307" s="62"/>
      <c r="F307" s="7"/>
      <c r="G307" s="7"/>
      <c r="I307" s="7"/>
      <c r="K307" s="62"/>
      <c r="L307" s="7"/>
      <c r="M307" s="7"/>
      <c r="O307" s="7"/>
      <c r="Q307" s="7"/>
      <c r="S307" s="7"/>
      <c r="U307" s="7"/>
      <c r="W307" s="7"/>
    </row>
    <row r="308">
      <c r="E308" s="62"/>
      <c r="F308" s="7"/>
      <c r="G308" s="7"/>
      <c r="I308" s="7"/>
      <c r="K308" s="62"/>
      <c r="L308" s="7"/>
      <c r="M308" s="7"/>
      <c r="O308" s="7"/>
      <c r="Q308" s="7"/>
      <c r="S308" s="7"/>
      <c r="U308" s="7"/>
      <c r="W308" s="7"/>
    </row>
    <row r="309">
      <c r="E309" s="62"/>
      <c r="F309" s="7"/>
      <c r="G309" s="7"/>
      <c r="I309" s="7"/>
      <c r="K309" s="62"/>
      <c r="L309" s="7"/>
      <c r="M309" s="7"/>
      <c r="O309" s="7"/>
      <c r="Q309" s="7"/>
      <c r="S309" s="7"/>
      <c r="U309" s="7"/>
      <c r="W309" s="7"/>
    </row>
    <row r="310">
      <c r="E310" s="62"/>
      <c r="F310" s="7"/>
      <c r="G310" s="7"/>
      <c r="I310" s="7"/>
      <c r="K310" s="62"/>
      <c r="L310" s="7"/>
      <c r="M310" s="7"/>
      <c r="O310" s="7"/>
      <c r="Q310" s="7"/>
      <c r="S310" s="7"/>
      <c r="U310" s="7"/>
      <c r="W310" s="7"/>
    </row>
    <row r="311">
      <c r="E311" s="62"/>
      <c r="F311" s="7"/>
      <c r="G311" s="7"/>
      <c r="I311" s="7"/>
      <c r="K311" s="62"/>
      <c r="L311" s="7"/>
      <c r="M311" s="7"/>
      <c r="O311" s="7"/>
      <c r="Q311" s="7"/>
      <c r="S311" s="7"/>
      <c r="U311" s="7"/>
      <c r="W311" s="7"/>
    </row>
    <row r="312">
      <c r="E312" s="62"/>
      <c r="F312" s="7"/>
      <c r="G312" s="7"/>
      <c r="I312" s="7"/>
      <c r="K312" s="62"/>
      <c r="L312" s="7"/>
      <c r="M312" s="7"/>
      <c r="O312" s="7"/>
      <c r="Q312" s="7"/>
      <c r="S312" s="7"/>
      <c r="U312" s="7"/>
      <c r="W312" s="7"/>
    </row>
    <row r="313">
      <c r="E313" s="62"/>
      <c r="F313" s="7"/>
      <c r="G313" s="7"/>
      <c r="I313" s="7"/>
      <c r="K313" s="62"/>
      <c r="L313" s="7"/>
      <c r="M313" s="7"/>
      <c r="O313" s="7"/>
      <c r="Q313" s="7"/>
      <c r="S313" s="7"/>
      <c r="U313" s="7"/>
      <c r="W313" s="7"/>
    </row>
    <row r="314">
      <c r="E314" s="62"/>
      <c r="F314" s="7"/>
      <c r="G314" s="7"/>
      <c r="I314" s="7"/>
      <c r="K314" s="62"/>
      <c r="L314" s="7"/>
      <c r="M314" s="7"/>
      <c r="O314" s="7"/>
      <c r="Q314" s="7"/>
      <c r="S314" s="7"/>
      <c r="U314" s="7"/>
      <c r="W314" s="7"/>
    </row>
    <row r="315">
      <c r="E315" s="62"/>
      <c r="F315" s="7"/>
      <c r="G315" s="7"/>
      <c r="I315" s="7"/>
      <c r="K315" s="62"/>
      <c r="L315" s="7"/>
      <c r="M315" s="7"/>
      <c r="O315" s="7"/>
      <c r="Q315" s="7"/>
      <c r="S315" s="7"/>
      <c r="U315" s="7"/>
      <c r="W315" s="7"/>
    </row>
    <row r="316">
      <c r="E316" s="62"/>
      <c r="F316" s="7"/>
      <c r="G316" s="7"/>
      <c r="I316" s="7"/>
      <c r="K316" s="62"/>
      <c r="L316" s="7"/>
      <c r="M316" s="7"/>
      <c r="O316" s="7"/>
      <c r="Q316" s="7"/>
      <c r="S316" s="7"/>
      <c r="U316" s="7"/>
      <c r="W316" s="7"/>
    </row>
    <row r="317">
      <c r="E317" s="62"/>
      <c r="F317" s="7"/>
      <c r="G317" s="7"/>
      <c r="I317" s="7"/>
      <c r="K317" s="62"/>
      <c r="L317" s="7"/>
      <c r="M317" s="7"/>
      <c r="O317" s="7"/>
      <c r="Q317" s="7"/>
      <c r="S317" s="7"/>
      <c r="U317" s="7"/>
      <c r="W317" s="7"/>
    </row>
    <row r="318">
      <c r="E318" s="62"/>
      <c r="F318" s="7"/>
      <c r="G318" s="7"/>
      <c r="I318" s="7"/>
      <c r="K318" s="62"/>
      <c r="L318" s="7"/>
      <c r="M318" s="7"/>
      <c r="O318" s="7"/>
      <c r="Q318" s="7"/>
      <c r="S318" s="7"/>
      <c r="U318" s="7"/>
      <c r="W318" s="7"/>
    </row>
    <row r="319">
      <c r="E319" s="62"/>
      <c r="F319" s="7"/>
      <c r="G319" s="7"/>
      <c r="I319" s="7"/>
      <c r="K319" s="62"/>
      <c r="L319" s="7"/>
      <c r="M319" s="7"/>
      <c r="O319" s="7"/>
      <c r="Q319" s="7"/>
      <c r="S319" s="7"/>
      <c r="U319" s="7"/>
      <c r="W319" s="7"/>
    </row>
    <row r="320">
      <c r="E320" s="62"/>
      <c r="F320" s="7"/>
      <c r="G320" s="7"/>
      <c r="I320" s="7"/>
      <c r="K320" s="62"/>
      <c r="L320" s="7"/>
      <c r="M320" s="7"/>
      <c r="O320" s="7"/>
      <c r="Q320" s="7"/>
      <c r="S320" s="7"/>
      <c r="U320" s="7"/>
      <c r="W320" s="7"/>
    </row>
    <row r="321">
      <c r="E321" s="62"/>
      <c r="F321" s="7"/>
      <c r="G321" s="7"/>
      <c r="I321" s="7"/>
      <c r="K321" s="62"/>
      <c r="L321" s="7"/>
      <c r="M321" s="7"/>
      <c r="O321" s="7"/>
      <c r="Q321" s="7"/>
      <c r="S321" s="7"/>
      <c r="U321" s="7"/>
      <c r="W321" s="7"/>
    </row>
    <row r="322">
      <c r="E322" s="62"/>
      <c r="F322" s="7"/>
      <c r="G322" s="7"/>
      <c r="I322" s="7"/>
      <c r="K322" s="62"/>
      <c r="L322" s="7"/>
      <c r="M322" s="7"/>
      <c r="O322" s="7"/>
      <c r="Q322" s="7"/>
      <c r="S322" s="7"/>
      <c r="U322" s="7"/>
      <c r="W322" s="7"/>
    </row>
    <row r="323">
      <c r="E323" s="62"/>
      <c r="F323" s="7"/>
      <c r="G323" s="7"/>
      <c r="I323" s="7"/>
      <c r="K323" s="62"/>
      <c r="L323" s="7"/>
      <c r="M323" s="7"/>
      <c r="O323" s="7"/>
      <c r="Q323" s="7"/>
      <c r="S323" s="7"/>
      <c r="U323" s="7"/>
      <c r="W323" s="7"/>
    </row>
    <row r="324">
      <c r="E324" s="62"/>
      <c r="F324" s="7"/>
      <c r="G324" s="7"/>
      <c r="I324" s="7"/>
      <c r="K324" s="62"/>
      <c r="L324" s="7"/>
      <c r="M324" s="7"/>
      <c r="O324" s="7"/>
      <c r="Q324" s="7"/>
      <c r="S324" s="7"/>
      <c r="U324" s="7"/>
      <c r="W324" s="7"/>
    </row>
    <row r="325">
      <c r="E325" s="62"/>
      <c r="F325" s="7"/>
      <c r="G325" s="7"/>
      <c r="I325" s="7"/>
      <c r="K325" s="62"/>
      <c r="L325" s="7"/>
      <c r="M325" s="7"/>
      <c r="O325" s="7"/>
      <c r="Q325" s="7"/>
      <c r="S325" s="7"/>
      <c r="U325" s="7"/>
      <c r="W325" s="7"/>
    </row>
    <row r="326">
      <c r="E326" s="62"/>
      <c r="F326" s="7"/>
      <c r="G326" s="7"/>
      <c r="I326" s="7"/>
      <c r="K326" s="62"/>
      <c r="L326" s="7"/>
      <c r="M326" s="7"/>
      <c r="O326" s="7"/>
      <c r="Q326" s="7"/>
      <c r="S326" s="7"/>
      <c r="U326" s="7"/>
      <c r="W326" s="7"/>
    </row>
    <row r="327">
      <c r="E327" s="62"/>
      <c r="F327" s="7"/>
      <c r="G327" s="7"/>
      <c r="I327" s="7"/>
      <c r="K327" s="62"/>
      <c r="L327" s="7"/>
      <c r="M327" s="7"/>
      <c r="O327" s="7"/>
      <c r="Q327" s="7"/>
      <c r="S327" s="7"/>
      <c r="U327" s="7"/>
      <c r="W327" s="7"/>
    </row>
    <row r="328">
      <c r="E328" s="62"/>
      <c r="F328" s="7"/>
      <c r="G328" s="7"/>
      <c r="I328" s="7"/>
      <c r="K328" s="62"/>
      <c r="L328" s="7"/>
      <c r="M328" s="7"/>
      <c r="O328" s="7"/>
      <c r="Q328" s="7"/>
      <c r="S328" s="7"/>
      <c r="U328" s="7"/>
      <c r="W328" s="7"/>
    </row>
    <row r="329">
      <c r="E329" s="62"/>
      <c r="F329" s="7"/>
      <c r="G329" s="7"/>
      <c r="I329" s="7"/>
      <c r="K329" s="62"/>
      <c r="L329" s="7"/>
      <c r="M329" s="7"/>
      <c r="O329" s="7"/>
      <c r="Q329" s="7"/>
      <c r="S329" s="7"/>
      <c r="U329" s="7"/>
      <c r="W329" s="7"/>
    </row>
    <row r="330">
      <c r="E330" s="62"/>
      <c r="F330" s="7"/>
      <c r="G330" s="7"/>
      <c r="I330" s="7"/>
      <c r="K330" s="62"/>
      <c r="L330" s="7"/>
      <c r="M330" s="7"/>
      <c r="O330" s="7"/>
      <c r="Q330" s="7"/>
      <c r="S330" s="7"/>
      <c r="U330" s="7"/>
      <c r="W330" s="7"/>
    </row>
    <row r="331">
      <c r="E331" s="62"/>
      <c r="F331" s="7"/>
      <c r="G331" s="7"/>
      <c r="I331" s="7"/>
      <c r="K331" s="62"/>
      <c r="L331" s="7"/>
      <c r="M331" s="7"/>
      <c r="O331" s="7"/>
      <c r="Q331" s="7"/>
      <c r="S331" s="7"/>
      <c r="U331" s="7"/>
      <c r="W331" s="7"/>
    </row>
    <row r="332">
      <c r="E332" s="62"/>
      <c r="F332" s="7"/>
      <c r="G332" s="7"/>
      <c r="I332" s="7"/>
      <c r="K332" s="62"/>
      <c r="L332" s="7"/>
      <c r="M332" s="7"/>
      <c r="O332" s="7"/>
      <c r="Q332" s="7"/>
      <c r="S332" s="7"/>
      <c r="U332" s="7"/>
      <c r="W332" s="7"/>
    </row>
    <row r="333">
      <c r="E333" s="62"/>
      <c r="F333" s="7"/>
      <c r="G333" s="7"/>
      <c r="I333" s="7"/>
      <c r="K333" s="62"/>
      <c r="L333" s="7"/>
      <c r="M333" s="7"/>
      <c r="O333" s="7"/>
      <c r="Q333" s="7"/>
      <c r="S333" s="7"/>
      <c r="U333" s="7"/>
      <c r="W333" s="7"/>
    </row>
    <row r="334">
      <c r="E334" s="62"/>
      <c r="F334" s="7"/>
      <c r="G334" s="7"/>
      <c r="I334" s="7"/>
      <c r="K334" s="62"/>
      <c r="L334" s="7"/>
      <c r="M334" s="7"/>
      <c r="O334" s="7"/>
      <c r="Q334" s="7"/>
      <c r="S334" s="7"/>
      <c r="U334" s="7"/>
      <c r="W334" s="7"/>
    </row>
    <row r="335">
      <c r="E335" s="62"/>
      <c r="F335" s="7"/>
      <c r="G335" s="7"/>
      <c r="I335" s="7"/>
      <c r="K335" s="62"/>
      <c r="L335" s="7"/>
      <c r="M335" s="7"/>
      <c r="O335" s="7"/>
      <c r="Q335" s="7"/>
      <c r="S335" s="7"/>
      <c r="U335" s="7"/>
      <c r="W335" s="7"/>
    </row>
    <row r="336">
      <c r="E336" s="62"/>
      <c r="F336" s="7"/>
      <c r="G336" s="7"/>
      <c r="I336" s="7"/>
      <c r="K336" s="62"/>
      <c r="L336" s="7"/>
      <c r="M336" s="7"/>
      <c r="O336" s="7"/>
      <c r="Q336" s="7"/>
      <c r="S336" s="7"/>
      <c r="U336" s="7"/>
      <c r="W336" s="7"/>
    </row>
    <row r="337">
      <c r="E337" s="62"/>
      <c r="F337" s="7"/>
      <c r="G337" s="7"/>
      <c r="I337" s="7"/>
      <c r="K337" s="62"/>
      <c r="L337" s="7"/>
      <c r="M337" s="7"/>
      <c r="O337" s="7"/>
      <c r="Q337" s="7"/>
      <c r="S337" s="7"/>
      <c r="U337" s="7"/>
      <c r="W337" s="7"/>
    </row>
    <row r="338">
      <c r="E338" s="62"/>
      <c r="F338" s="7"/>
      <c r="G338" s="7"/>
      <c r="I338" s="7"/>
      <c r="K338" s="62"/>
      <c r="L338" s="7"/>
      <c r="M338" s="7"/>
      <c r="O338" s="7"/>
      <c r="Q338" s="7"/>
      <c r="S338" s="7"/>
      <c r="U338" s="7"/>
      <c r="W338" s="7"/>
    </row>
    <row r="339">
      <c r="E339" s="62"/>
      <c r="F339" s="7"/>
      <c r="G339" s="7"/>
      <c r="I339" s="7"/>
      <c r="K339" s="62"/>
      <c r="L339" s="7"/>
      <c r="M339" s="7"/>
      <c r="O339" s="7"/>
      <c r="Q339" s="7"/>
      <c r="S339" s="7"/>
      <c r="U339" s="7"/>
      <c r="W339" s="7"/>
    </row>
    <row r="340">
      <c r="E340" s="62"/>
      <c r="F340" s="7"/>
      <c r="G340" s="7"/>
      <c r="I340" s="7"/>
      <c r="K340" s="62"/>
      <c r="L340" s="7"/>
      <c r="M340" s="7"/>
      <c r="O340" s="7"/>
      <c r="Q340" s="7"/>
      <c r="S340" s="7"/>
      <c r="U340" s="7"/>
      <c r="W340" s="7"/>
    </row>
    <row r="341">
      <c r="E341" s="62"/>
      <c r="F341" s="7"/>
      <c r="G341" s="7"/>
      <c r="I341" s="7"/>
      <c r="K341" s="62"/>
      <c r="L341" s="7"/>
      <c r="M341" s="7"/>
      <c r="O341" s="7"/>
      <c r="Q341" s="7"/>
      <c r="S341" s="7"/>
      <c r="U341" s="7"/>
      <c r="W341" s="7"/>
    </row>
    <row r="342">
      <c r="E342" s="62"/>
      <c r="F342" s="7"/>
      <c r="G342" s="7"/>
      <c r="I342" s="7"/>
      <c r="K342" s="62"/>
      <c r="L342" s="7"/>
      <c r="M342" s="7"/>
      <c r="O342" s="7"/>
      <c r="Q342" s="7"/>
      <c r="S342" s="7"/>
      <c r="U342" s="7"/>
      <c r="W342" s="7"/>
    </row>
    <row r="343">
      <c r="E343" s="62"/>
      <c r="F343" s="7"/>
      <c r="G343" s="7"/>
      <c r="I343" s="7"/>
      <c r="K343" s="62"/>
      <c r="L343" s="7"/>
      <c r="M343" s="7"/>
      <c r="O343" s="7"/>
      <c r="Q343" s="7"/>
      <c r="S343" s="7"/>
      <c r="U343" s="7"/>
      <c r="W343" s="7"/>
    </row>
    <row r="344">
      <c r="E344" s="62"/>
      <c r="F344" s="7"/>
      <c r="G344" s="7"/>
      <c r="I344" s="7"/>
      <c r="K344" s="62"/>
      <c r="L344" s="7"/>
      <c r="M344" s="7"/>
      <c r="O344" s="7"/>
      <c r="Q344" s="7"/>
      <c r="S344" s="7"/>
      <c r="U344" s="7"/>
      <c r="W344" s="7"/>
    </row>
    <row r="345">
      <c r="E345" s="62"/>
      <c r="F345" s="7"/>
      <c r="G345" s="7"/>
      <c r="I345" s="7"/>
      <c r="K345" s="62"/>
      <c r="L345" s="7"/>
      <c r="M345" s="7"/>
      <c r="O345" s="7"/>
      <c r="Q345" s="7"/>
      <c r="S345" s="7"/>
      <c r="U345" s="7"/>
      <c r="W345" s="7"/>
    </row>
    <row r="346">
      <c r="E346" s="62"/>
      <c r="F346" s="7"/>
      <c r="G346" s="7"/>
      <c r="I346" s="7"/>
      <c r="K346" s="62"/>
      <c r="L346" s="7"/>
      <c r="M346" s="7"/>
      <c r="O346" s="7"/>
      <c r="Q346" s="7"/>
      <c r="S346" s="7"/>
      <c r="U346" s="7"/>
      <c r="W346" s="7"/>
    </row>
    <row r="347">
      <c r="E347" s="62"/>
      <c r="F347" s="7"/>
      <c r="G347" s="7"/>
      <c r="I347" s="7"/>
      <c r="K347" s="62"/>
      <c r="L347" s="7"/>
      <c r="M347" s="7"/>
      <c r="O347" s="7"/>
      <c r="Q347" s="7"/>
      <c r="S347" s="7"/>
      <c r="U347" s="7"/>
      <c r="W347" s="7"/>
    </row>
    <row r="348">
      <c r="E348" s="62"/>
      <c r="F348" s="7"/>
      <c r="G348" s="7"/>
      <c r="I348" s="7"/>
      <c r="K348" s="62"/>
      <c r="L348" s="7"/>
      <c r="M348" s="7"/>
      <c r="O348" s="7"/>
      <c r="Q348" s="7"/>
      <c r="S348" s="7"/>
      <c r="U348" s="7"/>
      <c r="W348" s="7"/>
    </row>
    <row r="349">
      <c r="E349" s="62"/>
      <c r="F349" s="7"/>
      <c r="G349" s="7"/>
      <c r="I349" s="7"/>
      <c r="K349" s="62"/>
      <c r="L349" s="7"/>
      <c r="M349" s="7"/>
      <c r="O349" s="7"/>
      <c r="Q349" s="7"/>
      <c r="S349" s="7"/>
      <c r="U349" s="7"/>
      <c r="W349" s="7"/>
    </row>
    <row r="350">
      <c r="E350" s="62"/>
      <c r="F350" s="7"/>
      <c r="G350" s="7"/>
      <c r="I350" s="7"/>
      <c r="K350" s="62"/>
      <c r="L350" s="7"/>
      <c r="M350" s="7"/>
      <c r="O350" s="7"/>
      <c r="Q350" s="7"/>
      <c r="S350" s="7"/>
      <c r="U350" s="7"/>
      <c r="W350" s="7"/>
    </row>
    <row r="351">
      <c r="E351" s="62"/>
      <c r="F351" s="7"/>
      <c r="G351" s="7"/>
      <c r="I351" s="7"/>
      <c r="K351" s="62"/>
      <c r="L351" s="7"/>
      <c r="M351" s="7"/>
      <c r="O351" s="7"/>
      <c r="Q351" s="7"/>
      <c r="S351" s="7"/>
      <c r="U351" s="7"/>
      <c r="W351" s="7"/>
    </row>
    <row r="352">
      <c r="E352" s="62"/>
      <c r="F352" s="7"/>
      <c r="G352" s="7"/>
      <c r="I352" s="7"/>
      <c r="K352" s="62"/>
      <c r="L352" s="7"/>
      <c r="M352" s="7"/>
      <c r="O352" s="7"/>
      <c r="Q352" s="7"/>
      <c r="S352" s="7"/>
      <c r="U352" s="7"/>
      <c r="W352" s="7"/>
    </row>
    <row r="353">
      <c r="E353" s="62"/>
      <c r="F353" s="7"/>
      <c r="G353" s="7"/>
      <c r="I353" s="7"/>
      <c r="K353" s="62"/>
      <c r="L353" s="7"/>
      <c r="M353" s="7"/>
      <c r="O353" s="7"/>
      <c r="Q353" s="7"/>
      <c r="S353" s="7"/>
      <c r="U353" s="7"/>
      <c r="W353" s="7"/>
    </row>
    <row r="354">
      <c r="E354" s="62"/>
      <c r="F354" s="7"/>
      <c r="G354" s="7"/>
      <c r="I354" s="7"/>
      <c r="K354" s="62"/>
      <c r="L354" s="7"/>
      <c r="M354" s="7"/>
      <c r="O354" s="7"/>
      <c r="Q354" s="7"/>
      <c r="S354" s="7"/>
      <c r="U354" s="7"/>
      <c r="W354" s="7"/>
    </row>
    <row r="355">
      <c r="E355" s="62"/>
      <c r="F355" s="7"/>
      <c r="G355" s="7"/>
      <c r="I355" s="7"/>
      <c r="K355" s="62"/>
      <c r="L355" s="7"/>
      <c r="M355" s="7"/>
      <c r="O355" s="7"/>
      <c r="Q355" s="7"/>
      <c r="S355" s="7"/>
      <c r="U355" s="7"/>
      <c r="W355" s="7"/>
    </row>
    <row r="356">
      <c r="E356" s="62"/>
      <c r="F356" s="7"/>
      <c r="G356" s="7"/>
      <c r="I356" s="7"/>
      <c r="K356" s="62"/>
      <c r="L356" s="7"/>
      <c r="M356" s="7"/>
      <c r="O356" s="7"/>
      <c r="Q356" s="7"/>
      <c r="S356" s="7"/>
      <c r="U356" s="7"/>
      <c r="W356" s="7"/>
    </row>
    <row r="357">
      <c r="E357" s="62"/>
      <c r="F357" s="7"/>
      <c r="G357" s="7"/>
      <c r="I357" s="7"/>
      <c r="K357" s="62"/>
      <c r="L357" s="7"/>
      <c r="M357" s="7"/>
      <c r="O357" s="7"/>
      <c r="Q357" s="7"/>
      <c r="S357" s="7"/>
      <c r="U357" s="7"/>
      <c r="W357" s="7"/>
    </row>
    <row r="358">
      <c r="E358" s="62"/>
      <c r="F358" s="7"/>
      <c r="G358" s="7"/>
      <c r="I358" s="7"/>
      <c r="K358" s="62"/>
      <c r="L358" s="7"/>
      <c r="M358" s="7"/>
      <c r="O358" s="7"/>
      <c r="Q358" s="7"/>
      <c r="S358" s="7"/>
      <c r="U358" s="7"/>
      <c r="W358" s="7"/>
    </row>
    <row r="359">
      <c r="E359" s="62"/>
      <c r="F359" s="7"/>
      <c r="G359" s="7"/>
      <c r="I359" s="7"/>
      <c r="K359" s="62"/>
      <c r="L359" s="7"/>
      <c r="M359" s="7"/>
      <c r="O359" s="7"/>
      <c r="Q359" s="7"/>
      <c r="S359" s="7"/>
      <c r="U359" s="7"/>
      <c r="W359" s="7"/>
    </row>
    <row r="360">
      <c r="E360" s="62"/>
      <c r="F360" s="7"/>
      <c r="G360" s="7"/>
      <c r="I360" s="7"/>
      <c r="K360" s="62"/>
      <c r="L360" s="7"/>
      <c r="M360" s="7"/>
      <c r="O360" s="7"/>
      <c r="Q360" s="7"/>
      <c r="S360" s="7"/>
      <c r="U360" s="7"/>
      <c r="W360" s="7"/>
    </row>
    <row r="361">
      <c r="E361" s="62"/>
      <c r="F361" s="7"/>
      <c r="G361" s="7"/>
      <c r="I361" s="7"/>
      <c r="K361" s="62"/>
      <c r="L361" s="7"/>
      <c r="M361" s="7"/>
      <c r="O361" s="7"/>
      <c r="Q361" s="7"/>
      <c r="S361" s="7"/>
      <c r="U361" s="7"/>
      <c r="W361" s="7"/>
    </row>
    <row r="362">
      <c r="E362" s="62"/>
      <c r="F362" s="7"/>
      <c r="G362" s="7"/>
      <c r="I362" s="7"/>
      <c r="K362" s="62"/>
      <c r="L362" s="7"/>
      <c r="M362" s="7"/>
      <c r="O362" s="7"/>
      <c r="Q362" s="7"/>
      <c r="S362" s="7"/>
      <c r="U362" s="7"/>
      <c r="W362" s="7"/>
    </row>
    <row r="363">
      <c r="E363" s="62"/>
      <c r="F363" s="7"/>
      <c r="G363" s="7"/>
      <c r="I363" s="7"/>
      <c r="K363" s="62"/>
      <c r="L363" s="7"/>
      <c r="M363" s="7"/>
      <c r="O363" s="7"/>
      <c r="Q363" s="7"/>
      <c r="S363" s="7"/>
      <c r="U363" s="7"/>
      <c r="W363" s="7"/>
    </row>
    <row r="364">
      <c r="E364" s="62"/>
      <c r="F364" s="7"/>
      <c r="G364" s="7"/>
      <c r="I364" s="7"/>
      <c r="K364" s="62"/>
      <c r="L364" s="7"/>
      <c r="M364" s="7"/>
      <c r="O364" s="7"/>
      <c r="Q364" s="7"/>
      <c r="S364" s="7"/>
      <c r="U364" s="7"/>
      <c r="W364" s="7"/>
    </row>
    <row r="365">
      <c r="E365" s="62"/>
      <c r="F365" s="7"/>
      <c r="G365" s="7"/>
      <c r="I365" s="7"/>
      <c r="K365" s="62"/>
      <c r="L365" s="7"/>
      <c r="M365" s="7"/>
      <c r="O365" s="7"/>
      <c r="Q365" s="7"/>
      <c r="S365" s="7"/>
      <c r="U365" s="7"/>
      <c r="W365" s="7"/>
    </row>
    <row r="366">
      <c r="E366" s="62"/>
      <c r="F366" s="7"/>
      <c r="G366" s="7"/>
      <c r="I366" s="7"/>
      <c r="K366" s="62"/>
      <c r="L366" s="7"/>
      <c r="M366" s="7"/>
      <c r="O366" s="7"/>
      <c r="Q366" s="7"/>
      <c r="S366" s="7"/>
      <c r="U366" s="7"/>
      <c r="W366" s="7"/>
    </row>
    <row r="367">
      <c r="E367" s="62"/>
      <c r="F367" s="7"/>
      <c r="G367" s="7"/>
      <c r="I367" s="7"/>
      <c r="K367" s="62"/>
      <c r="L367" s="7"/>
      <c r="M367" s="7"/>
      <c r="O367" s="7"/>
      <c r="Q367" s="7"/>
      <c r="S367" s="7"/>
      <c r="U367" s="7"/>
      <c r="W367" s="7"/>
    </row>
    <row r="368">
      <c r="E368" s="62"/>
      <c r="F368" s="7"/>
      <c r="G368" s="7"/>
      <c r="I368" s="7"/>
      <c r="K368" s="62"/>
      <c r="L368" s="7"/>
      <c r="M368" s="7"/>
      <c r="O368" s="7"/>
      <c r="Q368" s="7"/>
      <c r="S368" s="7"/>
      <c r="U368" s="7"/>
      <c r="W368" s="7"/>
    </row>
    <row r="369">
      <c r="E369" s="62"/>
      <c r="F369" s="7"/>
      <c r="G369" s="7"/>
      <c r="I369" s="7"/>
      <c r="K369" s="62"/>
      <c r="L369" s="7"/>
      <c r="M369" s="7"/>
      <c r="O369" s="7"/>
      <c r="Q369" s="7"/>
      <c r="S369" s="7"/>
      <c r="U369" s="7"/>
      <c r="W369" s="7"/>
    </row>
    <row r="370">
      <c r="E370" s="62"/>
      <c r="F370" s="7"/>
      <c r="G370" s="7"/>
      <c r="I370" s="7"/>
      <c r="K370" s="62"/>
      <c r="L370" s="7"/>
      <c r="M370" s="7"/>
      <c r="O370" s="7"/>
      <c r="Q370" s="7"/>
      <c r="S370" s="7"/>
      <c r="U370" s="7"/>
      <c r="W370" s="7"/>
    </row>
    <row r="371">
      <c r="E371" s="62"/>
      <c r="F371" s="7"/>
      <c r="G371" s="7"/>
      <c r="I371" s="7"/>
      <c r="K371" s="62"/>
      <c r="L371" s="7"/>
      <c r="M371" s="7"/>
      <c r="O371" s="7"/>
      <c r="Q371" s="7"/>
      <c r="S371" s="7"/>
      <c r="U371" s="7"/>
      <c r="W371" s="7"/>
    </row>
    <row r="372">
      <c r="E372" s="62"/>
      <c r="F372" s="7"/>
      <c r="G372" s="7"/>
      <c r="I372" s="7"/>
      <c r="K372" s="62"/>
      <c r="L372" s="7"/>
      <c r="M372" s="7"/>
      <c r="O372" s="7"/>
      <c r="Q372" s="7"/>
      <c r="S372" s="7"/>
      <c r="U372" s="7"/>
      <c r="W372" s="7"/>
    </row>
    <row r="373">
      <c r="E373" s="62"/>
      <c r="F373" s="7"/>
      <c r="G373" s="7"/>
      <c r="I373" s="7"/>
      <c r="K373" s="62"/>
      <c r="L373" s="7"/>
      <c r="M373" s="7"/>
      <c r="O373" s="7"/>
      <c r="Q373" s="7"/>
      <c r="S373" s="7"/>
      <c r="U373" s="7"/>
      <c r="W373" s="7"/>
    </row>
    <row r="374">
      <c r="E374" s="62"/>
      <c r="F374" s="7"/>
      <c r="G374" s="7"/>
      <c r="I374" s="7"/>
      <c r="K374" s="62"/>
      <c r="L374" s="7"/>
      <c r="M374" s="7"/>
      <c r="O374" s="7"/>
      <c r="Q374" s="7"/>
      <c r="S374" s="7"/>
      <c r="U374" s="7"/>
      <c r="W374" s="7"/>
    </row>
    <row r="375">
      <c r="E375" s="62"/>
      <c r="F375" s="7"/>
      <c r="G375" s="7"/>
      <c r="I375" s="7"/>
      <c r="K375" s="62"/>
      <c r="L375" s="7"/>
      <c r="M375" s="7"/>
      <c r="O375" s="7"/>
      <c r="Q375" s="7"/>
      <c r="S375" s="7"/>
      <c r="U375" s="7"/>
      <c r="W375" s="7"/>
    </row>
    <row r="376">
      <c r="E376" s="62"/>
      <c r="F376" s="7"/>
      <c r="G376" s="7"/>
      <c r="I376" s="7"/>
      <c r="K376" s="62"/>
      <c r="L376" s="7"/>
      <c r="M376" s="7"/>
      <c r="O376" s="7"/>
      <c r="Q376" s="7"/>
      <c r="S376" s="7"/>
      <c r="U376" s="7"/>
      <c r="W376" s="7"/>
    </row>
    <row r="377">
      <c r="E377" s="62"/>
      <c r="F377" s="7"/>
      <c r="G377" s="7"/>
      <c r="I377" s="7"/>
      <c r="K377" s="62"/>
      <c r="L377" s="7"/>
      <c r="M377" s="7"/>
      <c r="O377" s="7"/>
      <c r="Q377" s="7"/>
      <c r="S377" s="7"/>
      <c r="U377" s="7"/>
      <c r="W377" s="7"/>
    </row>
    <row r="378">
      <c r="E378" s="62"/>
      <c r="F378" s="7"/>
      <c r="G378" s="7"/>
      <c r="I378" s="7"/>
      <c r="K378" s="62"/>
      <c r="L378" s="7"/>
      <c r="M378" s="7"/>
      <c r="O378" s="7"/>
      <c r="Q378" s="7"/>
      <c r="S378" s="7"/>
      <c r="U378" s="7"/>
      <c r="W378" s="7"/>
    </row>
    <row r="379">
      <c r="E379" s="62"/>
      <c r="F379" s="7"/>
      <c r="G379" s="7"/>
      <c r="I379" s="7"/>
      <c r="K379" s="62"/>
      <c r="L379" s="7"/>
      <c r="M379" s="7"/>
      <c r="O379" s="7"/>
      <c r="Q379" s="7"/>
      <c r="S379" s="7"/>
      <c r="U379" s="7"/>
      <c r="W379" s="7"/>
    </row>
    <row r="380">
      <c r="E380" s="62"/>
      <c r="F380" s="7"/>
      <c r="G380" s="7"/>
      <c r="I380" s="7"/>
      <c r="K380" s="62"/>
      <c r="L380" s="7"/>
      <c r="M380" s="7"/>
      <c r="O380" s="7"/>
      <c r="Q380" s="7"/>
      <c r="S380" s="7"/>
      <c r="U380" s="7"/>
      <c r="W380" s="7"/>
    </row>
    <row r="381">
      <c r="E381" s="62"/>
      <c r="F381" s="7"/>
      <c r="G381" s="7"/>
      <c r="I381" s="7"/>
      <c r="K381" s="62"/>
      <c r="L381" s="7"/>
      <c r="M381" s="7"/>
      <c r="O381" s="7"/>
      <c r="Q381" s="7"/>
      <c r="S381" s="7"/>
      <c r="U381" s="7"/>
      <c r="W381" s="7"/>
    </row>
    <row r="382">
      <c r="E382" s="62"/>
      <c r="F382" s="7"/>
      <c r="G382" s="7"/>
      <c r="I382" s="7"/>
      <c r="K382" s="62"/>
      <c r="L382" s="7"/>
      <c r="M382" s="7"/>
      <c r="O382" s="7"/>
      <c r="Q382" s="7"/>
      <c r="S382" s="7"/>
      <c r="U382" s="7"/>
      <c r="W382" s="7"/>
    </row>
    <row r="383">
      <c r="E383" s="62"/>
      <c r="F383" s="7"/>
      <c r="G383" s="7"/>
      <c r="I383" s="7"/>
      <c r="K383" s="62"/>
      <c r="L383" s="7"/>
      <c r="M383" s="7"/>
      <c r="O383" s="7"/>
      <c r="Q383" s="7"/>
      <c r="S383" s="7"/>
      <c r="U383" s="7"/>
      <c r="W383" s="7"/>
    </row>
    <row r="384">
      <c r="E384" s="62"/>
      <c r="F384" s="7"/>
      <c r="G384" s="7"/>
      <c r="I384" s="7"/>
      <c r="K384" s="62"/>
      <c r="L384" s="7"/>
      <c r="M384" s="7"/>
      <c r="O384" s="7"/>
      <c r="Q384" s="7"/>
      <c r="S384" s="7"/>
      <c r="U384" s="7"/>
      <c r="W384" s="7"/>
    </row>
    <row r="385">
      <c r="E385" s="62"/>
      <c r="F385" s="7"/>
      <c r="G385" s="7"/>
      <c r="I385" s="7"/>
      <c r="K385" s="62"/>
      <c r="L385" s="7"/>
      <c r="M385" s="7"/>
      <c r="O385" s="7"/>
      <c r="Q385" s="7"/>
      <c r="S385" s="7"/>
      <c r="U385" s="7"/>
      <c r="W385" s="7"/>
    </row>
    <row r="386">
      <c r="E386" s="62"/>
      <c r="F386" s="7"/>
      <c r="G386" s="7"/>
      <c r="I386" s="7"/>
      <c r="K386" s="62"/>
      <c r="L386" s="7"/>
      <c r="M386" s="7"/>
      <c r="O386" s="7"/>
      <c r="Q386" s="7"/>
      <c r="S386" s="7"/>
      <c r="U386" s="7"/>
      <c r="W386" s="7"/>
    </row>
    <row r="387">
      <c r="E387" s="62"/>
      <c r="F387" s="7"/>
      <c r="G387" s="7"/>
      <c r="I387" s="7"/>
      <c r="K387" s="62"/>
      <c r="L387" s="7"/>
      <c r="M387" s="7"/>
      <c r="O387" s="7"/>
      <c r="Q387" s="7"/>
      <c r="S387" s="7"/>
      <c r="U387" s="7"/>
      <c r="W387" s="7"/>
    </row>
    <row r="388">
      <c r="E388" s="62"/>
      <c r="F388" s="7"/>
      <c r="G388" s="7"/>
      <c r="I388" s="7"/>
      <c r="K388" s="62"/>
      <c r="L388" s="7"/>
      <c r="M388" s="7"/>
      <c r="O388" s="7"/>
      <c r="Q388" s="7"/>
      <c r="S388" s="7"/>
      <c r="U388" s="7"/>
      <c r="W388" s="7"/>
    </row>
    <row r="389">
      <c r="E389" s="62"/>
      <c r="F389" s="7"/>
      <c r="G389" s="7"/>
      <c r="I389" s="7"/>
      <c r="K389" s="62"/>
      <c r="L389" s="7"/>
      <c r="M389" s="7"/>
      <c r="O389" s="7"/>
      <c r="Q389" s="7"/>
      <c r="S389" s="7"/>
      <c r="U389" s="7"/>
      <c r="W389" s="7"/>
    </row>
    <row r="390">
      <c r="E390" s="62"/>
      <c r="F390" s="7"/>
      <c r="G390" s="7"/>
      <c r="I390" s="7"/>
      <c r="K390" s="62"/>
      <c r="L390" s="7"/>
      <c r="M390" s="7"/>
      <c r="O390" s="7"/>
      <c r="Q390" s="7"/>
      <c r="S390" s="7"/>
      <c r="U390" s="7"/>
      <c r="W390" s="7"/>
    </row>
    <row r="391">
      <c r="E391" s="62"/>
      <c r="F391" s="7"/>
      <c r="G391" s="7"/>
      <c r="I391" s="7"/>
      <c r="K391" s="62"/>
      <c r="L391" s="7"/>
      <c r="M391" s="7"/>
      <c r="O391" s="7"/>
      <c r="Q391" s="7"/>
      <c r="S391" s="7"/>
      <c r="U391" s="7"/>
      <c r="W391" s="7"/>
    </row>
    <row r="392">
      <c r="E392" s="62"/>
      <c r="F392" s="7"/>
      <c r="G392" s="7"/>
      <c r="I392" s="7"/>
      <c r="K392" s="62"/>
      <c r="L392" s="7"/>
      <c r="M392" s="7"/>
      <c r="O392" s="7"/>
      <c r="Q392" s="7"/>
      <c r="S392" s="7"/>
      <c r="U392" s="7"/>
      <c r="W392" s="7"/>
    </row>
    <row r="393">
      <c r="E393" s="62"/>
      <c r="F393" s="7"/>
      <c r="G393" s="7"/>
      <c r="I393" s="7"/>
      <c r="K393" s="62"/>
      <c r="L393" s="7"/>
      <c r="M393" s="7"/>
      <c r="O393" s="7"/>
      <c r="Q393" s="7"/>
      <c r="S393" s="7"/>
      <c r="U393" s="7"/>
      <c r="W393" s="7"/>
    </row>
    <row r="394">
      <c r="E394" s="62"/>
      <c r="F394" s="7"/>
      <c r="G394" s="7"/>
      <c r="I394" s="7"/>
      <c r="K394" s="62"/>
      <c r="L394" s="7"/>
      <c r="M394" s="7"/>
      <c r="O394" s="7"/>
      <c r="Q394" s="7"/>
      <c r="S394" s="7"/>
      <c r="U394" s="7"/>
      <c r="W394" s="7"/>
    </row>
    <row r="395">
      <c r="E395" s="62"/>
      <c r="F395" s="7"/>
      <c r="G395" s="7"/>
      <c r="I395" s="7"/>
      <c r="K395" s="62"/>
      <c r="L395" s="7"/>
      <c r="M395" s="7"/>
      <c r="O395" s="7"/>
      <c r="Q395" s="7"/>
      <c r="S395" s="7"/>
      <c r="U395" s="7"/>
      <c r="W395" s="7"/>
    </row>
    <row r="396">
      <c r="E396" s="62"/>
      <c r="F396" s="7"/>
      <c r="G396" s="7"/>
      <c r="I396" s="7"/>
      <c r="K396" s="62"/>
      <c r="L396" s="7"/>
      <c r="M396" s="7"/>
      <c r="O396" s="7"/>
      <c r="Q396" s="7"/>
      <c r="S396" s="7"/>
      <c r="U396" s="7"/>
      <c r="W396" s="7"/>
    </row>
    <row r="397">
      <c r="E397" s="62"/>
      <c r="F397" s="7"/>
      <c r="G397" s="7"/>
      <c r="I397" s="7"/>
      <c r="K397" s="62"/>
      <c r="L397" s="7"/>
      <c r="M397" s="7"/>
      <c r="O397" s="7"/>
      <c r="Q397" s="7"/>
      <c r="S397" s="7"/>
      <c r="U397" s="7"/>
      <c r="W397" s="7"/>
    </row>
    <row r="398">
      <c r="E398" s="62"/>
      <c r="F398" s="7"/>
      <c r="G398" s="7"/>
      <c r="I398" s="7"/>
      <c r="K398" s="62"/>
      <c r="L398" s="7"/>
      <c r="M398" s="7"/>
      <c r="O398" s="7"/>
      <c r="Q398" s="7"/>
      <c r="S398" s="7"/>
      <c r="U398" s="7"/>
      <c r="W398" s="7"/>
    </row>
    <row r="399">
      <c r="E399" s="62"/>
      <c r="F399" s="7"/>
      <c r="G399" s="7"/>
      <c r="I399" s="7"/>
      <c r="K399" s="62"/>
      <c r="L399" s="7"/>
      <c r="M399" s="7"/>
      <c r="O399" s="7"/>
      <c r="Q399" s="7"/>
      <c r="S399" s="7"/>
      <c r="U399" s="7"/>
      <c r="W399" s="7"/>
    </row>
    <row r="400">
      <c r="E400" s="62"/>
      <c r="F400" s="7"/>
      <c r="G400" s="7"/>
      <c r="I400" s="7"/>
      <c r="K400" s="62"/>
      <c r="L400" s="7"/>
      <c r="M400" s="7"/>
      <c r="O400" s="7"/>
      <c r="Q400" s="7"/>
      <c r="S400" s="7"/>
      <c r="U400" s="7"/>
      <c r="W400" s="7"/>
    </row>
    <row r="401">
      <c r="E401" s="62"/>
      <c r="F401" s="7"/>
      <c r="G401" s="7"/>
      <c r="I401" s="7"/>
      <c r="K401" s="62"/>
      <c r="L401" s="7"/>
      <c r="M401" s="7"/>
      <c r="O401" s="7"/>
      <c r="Q401" s="7"/>
      <c r="S401" s="7"/>
      <c r="U401" s="7"/>
      <c r="W401" s="7"/>
    </row>
    <row r="402">
      <c r="E402" s="62"/>
      <c r="F402" s="7"/>
      <c r="G402" s="7"/>
      <c r="I402" s="7"/>
      <c r="K402" s="62"/>
      <c r="L402" s="7"/>
      <c r="M402" s="7"/>
      <c r="O402" s="7"/>
      <c r="Q402" s="7"/>
      <c r="S402" s="7"/>
      <c r="U402" s="7"/>
      <c r="W402" s="7"/>
    </row>
    <row r="403">
      <c r="E403" s="62"/>
      <c r="F403" s="7"/>
      <c r="G403" s="7"/>
      <c r="I403" s="7"/>
      <c r="K403" s="62"/>
      <c r="L403" s="7"/>
      <c r="M403" s="7"/>
      <c r="O403" s="7"/>
      <c r="Q403" s="7"/>
      <c r="S403" s="7"/>
      <c r="U403" s="7"/>
      <c r="W403" s="7"/>
    </row>
    <row r="404">
      <c r="E404" s="62"/>
      <c r="F404" s="7"/>
      <c r="G404" s="7"/>
      <c r="I404" s="7"/>
      <c r="K404" s="62"/>
      <c r="L404" s="7"/>
      <c r="M404" s="7"/>
      <c r="O404" s="7"/>
      <c r="Q404" s="7"/>
      <c r="S404" s="7"/>
      <c r="U404" s="7"/>
      <c r="W404" s="7"/>
    </row>
    <row r="405">
      <c r="E405" s="62"/>
      <c r="F405" s="7"/>
      <c r="G405" s="7"/>
      <c r="I405" s="7"/>
      <c r="K405" s="62"/>
      <c r="L405" s="7"/>
      <c r="M405" s="7"/>
      <c r="O405" s="7"/>
      <c r="Q405" s="7"/>
      <c r="S405" s="7"/>
      <c r="U405" s="7"/>
      <c r="W405" s="7"/>
    </row>
    <row r="406">
      <c r="E406" s="62"/>
      <c r="F406" s="7"/>
      <c r="G406" s="7"/>
      <c r="I406" s="7"/>
      <c r="K406" s="62"/>
      <c r="L406" s="7"/>
      <c r="M406" s="7"/>
      <c r="O406" s="7"/>
      <c r="Q406" s="7"/>
      <c r="S406" s="7"/>
      <c r="U406" s="7"/>
      <c r="W406" s="7"/>
    </row>
    <row r="407">
      <c r="E407" s="62"/>
      <c r="F407" s="7"/>
      <c r="G407" s="7"/>
      <c r="I407" s="7"/>
      <c r="K407" s="62"/>
      <c r="L407" s="7"/>
      <c r="M407" s="7"/>
      <c r="O407" s="7"/>
      <c r="Q407" s="7"/>
      <c r="S407" s="7"/>
      <c r="U407" s="7"/>
      <c r="W407" s="7"/>
    </row>
    <row r="408">
      <c r="E408" s="62"/>
      <c r="F408" s="7"/>
      <c r="G408" s="7"/>
      <c r="I408" s="7"/>
      <c r="K408" s="62"/>
      <c r="L408" s="7"/>
      <c r="M408" s="7"/>
      <c r="O408" s="7"/>
      <c r="Q408" s="7"/>
      <c r="S408" s="7"/>
      <c r="U408" s="7"/>
      <c r="W408" s="7"/>
    </row>
    <row r="409">
      <c r="E409" s="62"/>
      <c r="F409" s="7"/>
      <c r="G409" s="7"/>
      <c r="I409" s="7"/>
      <c r="K409" s="62"/>
      <c r="L409" s="7"/>
      <c r="M409" s="7"/>
      <c r="O409" s="7"/>
      <c r="Q409" s="7"/>
      <c r="S409" s="7"/>
      <c r="U409" s="7"/>
      <c r="W409" s="7"/>
    </row>
    <row r="410">
      <c r="E410" s="62"/>
      <c r="F410" s="7"/>
      <c r="G410" s="7"/>
      <c r="I410" s="7"/>
      <c r="K410" s="62"/>
      <c r="L410" s="7"/>
      <c r="M410" s="7"/>
      <c r="O410" s="7"/>
      <c r="Q410" s="7"/>
      <c r="S410" s="7"/>
      <c r="U410" s="7"/>
      <c r="W410" s="7"/>
    </row>
    <row r="411">
      <c r="E411" s="62"/>
      <c r="F411" s="7"/>
      <c r="G411" s="7"/>
      <c r="I411" s="7"/>
      <c r="K411" s="62"/>
      <c r="L411" s="7"/>
      <c r="M411" s="7"/>
      <c r="O411" s="7"/>
      <c r="Q411" s="7"/>
      <c r="S411" s="7"/>
      <c r="U411" s="7"/>
      <c r="W411" s="7"/>
    </row>
    <row r="412">
      <c r="E412" s="62"/>
      <c r="F412" s="7"/>
      <c r="G412" s="7"/>
      <c r="I412" s="7"/>
      <c r="K412" s="62"/>
      <c r="L412" s="7"/>
      <c r="M412" s="7"/>
      <c r="O412" s="7"/>
      <c r="Q412" s="7"/>
      <c r="S412" s="7"/>
      <c r="U412" s="7"/>
      <c r="W412" s="7"/>
    </row>
    <row r="413">
      <c r="E413" s="62"/>
      <c r="F413" s="7"/>
      <c r="G413" s="7"/>
      <c r="I413" s="7"/>
      <c r="K413" s="62"/>
      <c r="L413" s="7"/>
      <c r="M413" s="7"/>
      <c r="O413" s="7"/>
      <c r="Q413" s="7"/>
      <c r="S413" s="7"/>
      <c r="U413" s="7"/>
      <c r="W413" s="7"/>
    </row>
    <row r="414">
      <c r="E414" s="62"/>
      <c r="F414" s="7"/>
      <c r="G414" s="7"/>
      <c r="I414" s="7"/>
      <c r="K414" s="62"/>
      <c r="L414" s="7"/>
      <c r="M414" s="7"/>
      <c r="O414" s="7"/>
      <c r="Q414" s="7"/>
      <c r="S414" s="7"/>
      <c r="U414" s="7"/>
      <c r="W414" s="7"/>
    </row>
    <row r="415">
      <c r="E415" s="62"/>
      <c r="F415" s="7"/>
      <c r="G415" s="7"/>
      <c r="I415" s="7"/>
      <c r="K415" s="62"/>
      <c r="L415" s="7"/>
      <c r="M415" s="7"/>
      <c r="O415" s="7"/>
      <c r="Q415" s="7"/>
      <c r="S415" s="7"/>
      <c r="U415" s="7"/>
      <c r="W415" s="7"/>
    </row>
    <row r="416">
      <c r="E416" s="62"/>
      <c r="F416" s="7"/>
      <c r="G416" s="7"/>
      <c r="I416" s="7"/>
      <c r="K416" s="62"/>
      <c r="L416" s="7"/>
      <c r="M416" s="7"/>
      <c r="O416" s="7"/>
      <c r="Q416" s="7"/>
      <c r="S416" s="7"/>
      <c r="U416" s="7"/>
      <c r="W416" s="7"/>
    </row>
    <row r="417">
      <c r="E417" s="62"/>
      <c r="F417" s="7"/>
      <c r="G417" s="7"/>
      <c r="I417" s="7"/>
      <c r="K417" s="62"/>
      <c r="L417" s="7"/>
      <c r="M417" s="7"/>
      <c r="O417" s="7"/>
      <c r="Q417" s="7"/>
      <c r="S417" s="7"/>
      <c r="U417" s="7"/>
      <c r="W417" s="7"/>
    </row>
    <row r="418">
      <c r="E418" s="62"/>
      <c r="F418" s="7"/>
      <c r="G418" s="7"/>
      <c r="I418" s="7"/>
      <c r="K418" s="62"/>
      <c r="L418" s="7"/>
      <c r="M418" s="7"/>
      <c r="O418" s="7"/>
      <c r="Q418" s="7"/>
      <c r="S418" s="7"/>
      <c r="U418" s="7"/>
      <c r="W418" s="7"/>
    </row>
    <row r="419">
      <c r="E419" s="62"/>
      <c r="F419" s="7"/>
      <c r="G419" s="7"/>
      <c r="I419" s="7"/>
      <c r="K419" s="62"/>
      <c r="L419" s="7"/>
      <c r="M419" s="7"/>
      <c r="O419" s="7"/>
      <c r="Q419" s="7"/>
      <c r="S419" s="7"/>
      <c r="U419" s="7"/>
      <c r="W419" s="7"/>
    </row>
    <row r="420">
      <c r="E420" s="62"/>
      <c r="F420" s="7"/>
      <c r="G420" s="7"/>
      <c r="I420" s="7"/>
      <c r="K420" s="62"/>
      <c r="L420" s="7"/>
      <c r="M420" s="7"/>
      <c r="O420" s="7"/>
      <c r="Q420" s="7"/>
      <c r="S420" s="7"/>
      <c r="U420" s="7"/>
      <c r="W420" s="7"/>
    </row>
    <row r="421">
      <c r="E421" s="62"/>
      <c r="F421" s="7"/>
      <c r="G421" s="7"/>
      <c r="I421" s="7"/>
      <c r="K421" s="62"/>
      <c r="L421" s="7"/>
      <c r="M421" s="7"/>
      <c r="O421" s="7"/>
      <c r="Q421" s="7"/>
      <c r="S421" s="7"/>
      <c r="U421" s="7"/>
      <c r="W421" s="7"/>
    </row>
    <row r="422">
      <c r="E422" s="62"/>
      <c r="F422" s="7"/>
      <c r="G422" s="7"/>
      <c r="I422" s="7"/>
      <c r="K422" s="62"/>
      <c r="L422" s="7"/>
      <c r="M422" s="7"/>
      <c r="O422" s="7"/>
      <c r="Q422" s="7"/>
      <c r="S422" s="7"/>
      <c r="U422" s="7"/>
      <c r="W422" s="7"/>
    </row>
    <row r="423">
      <c r="E423" s="62"/>
      <c r="F423" s="7"/>
      <c r="G423" s="7"/>
      <c r="I423" s="7"/>
      <c r="K423" s="62"/>
      <c r="L423" s="7"/>
      <c r="M423" s="7"/>
      <c r="O423" s="7"/>
      <c r="Q423" s="7"/>
      <c r="S423" s="7"/>
      <c r="U423" s="7"/>
      <c r="W423" s="7"/>
    </row>
    <row r="424">
      <c r="E424" s="62"/>
      <c r="F424" s="7"/>
      <c r="G424" s="7"/>
      <c r="I424" s="7"/>
      <c r="K424" s="62"/>
      <c r="L424" s="7"/>
      <c r="M424" s="7"/>
      <c r="O424" s="7"/>
      <c r="Q424" s="7"/>
      <c r="S424" s="7"/>
      <c r="U424" s="7"/>
      <c r="W424" s="7"/>
    </row>
    <row r="425">
      <c r="E425" s="62"/>
      <c r="F425" s="7"/>
      <c r="G425" s="7"/>
      <c r="I425" s="7"/>
      <c r="K425" s="62"/>
      <c r="L425" s="7"/>
      <c r="M425" s="7"/>
      <c r="O425" s="7"/>
      <c r="Q425" s="7"/>
      <c r="S425" s="7"/>
      <c r="U425" s="7"/>
      <c r="W425" s="7"/>
    </row>
    <row r="426">
      <c r="E426" s="62"/>
      <c r="F426" s="7"/>
      <c r="G426" s="7"/>
      <c r="I426" s="7"/>
      <c r="K426" s="62"/>
      <c r="L426" s="7"/>
      <c r="M426" s="7"/>
      <c r="O426" s="7"/>
      <c r="Q426" s="7"/>
      <c r="S426" s="7"/>
      <c r="U426" s="7"/>
      <c r="W426" s="7"/>
    </row>
    <row r="427">
      <c r="E427" s="62"/>
      <c r="F427" s="7"/>
      <c r="G427" s="7"/>
      <c r="I427" s="7"/>
      <c r="K427" s="62"/>
      <c r="L427" s="7"/>
      <c r="M427" s="7"/>
      <c r="O427" s="7"/>
      <c r="Q427" s="7"/>
      <c r="S427" s="7"/>
      <c r="U427" s="7"/>
      <c r="W427" s="7"/>
    </row>
    <row r="428">
      <c r="E428" s="62"/>
      <c r="F428" s="7"/>
      <c r="G428" s="7"/>
      <c r="I428" s="7"/>
      <c r="K428" s="62"/>
      <c r="L428" s="7"/>
      <c r="M428" s="7"/>
      <c r="O428" s="7"/>
      <c r="Q428" s="7"/>
      <c r="S428" s="7"/>
      <c r="U428" s="7"/>
      <c r="W428" s="7"/>
    </row>
    <row r="429">
      <c r="E429" s="62"/>
      <c r="F429" s="7"/>
      <c r="G429" s="7"/>
      <c r="I429" s="7"/>
      <c r="K429" s="62"/>
      <c r="L429" s="7"/>
      <c r="M429" s="7"/>
      <c r="O429" s="7"/>
      <c r="Q429" s="7"/>
      <c r="S429" s="7"/>
      <c r="U429" s="7"/>
      <c r="W429" s="7"/>
    </row>
    <row r="430">
      <c r="E430" s="62"/>
      <c r="F430" s="7"/>
      <c r="G430" s="7"/>
      <c r="I430" s="7"/>
      <c r="K430" s="62"/>
      <c r="L430" s="7"/>
      <c r="M430" s="7"/>
      <c r="O430" s="7"/>
      <c r="Q430" s="7"/>
      <c r="S430" s="7"/>
      <c r="U430" s="7"/>
      <c r="W430" s="7"/>
    </row>
    <row r="431">
      <c r="E431" s="62"/>
      <c r="F431" s="7"/>
      <c r="G431" s="7"/>
      <c r="I431" s="7"/>
      <c r="K431" s="62"/>
      <c r="L431" s="7"/>
      <c r="M431" s="7"/>
      <c r="O431" s="7"/>
      <c r="Q431" s="7"/>
      <c r="S431" s="7"/>
      <c r="U431" s="7"/>
      <c r="W431" s="7"/>
    </row>
    <row r="432">
      <c r="E432" s="62"/>
      <c r="F432" s="7"/>
      <c r="G432" s="7"/>
      <c r="I432" s="7"/>
      <c r="K432" s="62"/>
      <c r="L432" s="7"/>
      <c r="M432" s="7"/>
      <c r="O432" s="7"/>
      <c r="Q432" s="7"/>
      <c r="S432" s="7"/>
      <c r="U432" s="7"/>
      <c r="W432" s="7"/>
    </row>
    <row r="433">
      <c r="E433" s="62"/>
      <c r="F433" s="7"/>
      <c r="G433" s="7"/>
      <c r="I433" s="7"/>
      <c r="K433" s="62"/>
      <c r="L433" s="7"/>
      <c r="M433" s="7"/>
      <c r="O433" s="7"/>
      <c r="Q433" s="7"/>
      <c r="S433" s="7"/>
      <c r="U433" s="7"/>
      <c r="W433" s="7"/>
    </row>
    <row r="434">
      <c r="E434" s="62"/>
      <c r="F434" s="7"/>
      <c r="G434" s="7"/>
      <c r="I434" s="7"/>
      <c r="K434" s="62"/>
      <c r="L434" s="7"/>
      <c r="M434" s="7"/>
      <c r="O434" s="7"/>
      <c r="Q434" s="7"/>
      <c r="S434" s="7"/>
      <c r="U434" s="7"/>
      <c r="W434" s="7"/>
    </row>
    <row r="435">
      <c r="E435" s="62"/>
      <c r="F435" s="7"/>
      <c r="G435" s="7"/>
      <c r="I435" s="7"/>
      <c r="K435" s="62"/>
      <c r="L435" s="7"/>
      <c r="M435" s="7"/>
      <c r="O435" s="7"/>
      <c r="Q435" s="7"/>
      <c r="S435" s="7"/>
      <c r="U435" s="7"/>
      <c r="W435" s="7"/>
    </row>
    <row r="436">
      <c r="E436" s="62"/>
      <c r="F436" s="7"/>
      <c r="G436" s="7"/>
      <c r="I436" s="7"/>
      <c r="K436" s="62"/>
      <c r="L436" s="7"/>
      <c r="M436" s="7"/>
      <c r="O436" s="7"/>
      <c r="Q436" s="7"/>
      <c r="S436" s="7"/>
      <c r="U436" s="7"/>
      <c r="W436" s="7"/>
    </row>
    <row r="437">
      <c r="E437" s="62"/>
      <c r="F437" s="7"/>
      <c r="G437" s="7"/>
      <c r="I437" s="7"/>
      <c r="K437" s="62"/>
      <c r="L437" s="7"/>
      <c r="M437" s="7"/>
      <c r="O437" s="7"/>
      <c r="Q437" s="7"/>
      <c r="S437" s="7"/>
      <c r="U437" s="7"/>
      <c r="W437" s="7"/>
    </row>
    <row r="438">
      <c r="E438" s="62"/>
      <c r="F438" s="7"/>
      <c r="G438" s="7"/>
      <c r="I438" s="7"/>
      <c r="K438" s="62"/>
      <c r="L438" s="7"/>
      <c r="M438" s="7"/>
      <c r="O438" s="7"/>
      <c r="Q438" s="7"/>
      <c r="S438" s="7"/>
      <c r="U438" s="7"/>
      <c r="W438" s="7"/>
    </row>
    <row r="439">
      <c r="E439" s="62"/>
      <c r="F439" s="7"/>
      <c r="G439" s="7"/>
      <c r="I439" s="7"/>
      <c r="K439" s="62"/>
      <c r="L439" s="7"/>
      <c r="M439" s="7"/>
      <c r="O439" s="7"/>
      <c r="Q439" s="7"/>
      <c r="S439" s="7"/>
      <c r="U439" s="7"/>
      <c r="W439" s="7"/>
    </row>
    <row r="440">
      <c r="E440" s="62"/>
      <c r="F440" s="7"/>
      <c r="G440" s="7"/>
      <c r="I440" s="7"/>
      <c r="K440" s="62"/>
      <c r="L440" s="7"/>
      <c r="M440" s="7"/>
      <c r="O440" s="7"/>
      <c r="Q440" s="7"/>
      <c r="S440" s="7"/>
      <c r="U440" s="7"/>
      <c r="W440" s="7"/>
    </row>
    <row r="441">
      <c r="E441" s="62"/>
      <c r="F441" s="7"/>
      <c r="G441" s="7"/>
      <c r="I441" s="7"/>
      <c r="K441" s="62"/>
      <c r="L441" s="7"/>
      <c r="M441" s="7"/>
      <c r="O441" s="7"/>
      <c r="Q441" s="7"/>
      <c r="S441" s="7"/>
      <c r="U441" s="7"/>
      <c r="W441" s="7"/>
    </row>
    <row r="442">
      <c r="E442" s="62"/>
      <c r="F442" s="7"/>
      <c r="G442" s="7"/>
      <c r="I442" s="7"/>
      <c r="K442" s="62"/>
      <c r="L442" s="7"/>
      <c r="M442" s="7"/>
      <c r="O442" s="7"/>
      <c r="Q442" s="7"/>
      <c r="S442" s="7"/>
      <c r="U442" s="7"/>
      <c r="W442" s="7"/>
    </row>
    <row r="443">
      <c r="E443" s="62"/>
      <c r="F443" s="7"/>
      <c r="G443" s="7"/>
      <c r="I443" s="7"/>
      <c r="K443" s="62"/>
      <c r="L443" s="7"/>
      <c r="M443" s="7"/>
      <c r="O443" s="7"/>
      <c r="Q443" s="7"/>
      <c r="S443" s="7"/>
      <c r="U443" s="7"/>
      <c r="W443" s="7"/>
    </row>
    <row r="444">
      <c r="E444" s="62"/>
      <c r="F444" s="7"/>
      <c r="G444" s="7"/>
      <c r="I444" s="7"/>
      <c r="K444" s="62"/>
      <c r="L444" s="7"/>
      <c r="M444" s="7"/>
      <c r="O444" s="7"/>
      <c r="Q444" s="7"/>
      <c r="S444" s="7"/>
      <c r="U444" s="7"/>
      <c r="W444" s="7"/>
    </row>
    <row r="445">
      <c r="E445" s="62"/>
      <c r="F445" s="7"/>
      <c r="G445" s="7"/>
      <c r="I445" s="7"/>
      <c r="K445" s="62"/>
      <c r="L445" s="7"/>
      <c r="M445" s="7"/>
      <c r="O445" s="7"/>
      <c r="Q445" s="7"/>
      <c r="S445" s="7"/>
      <c r="U445" s="7"/>
      <c r="W445" s="7"/>
    </row>
    <row r="446">
      <c r="E446" s="62"/>
      <c r="F446" s="7"/>
      <c r="G446" s="7"/>
      <c r="I446" s="7"/>
      <c r="K446" s="62"/>
      <c r="L446" s="7"/>
      <c r="M446" s="7"/>
      <c r="O446" s="7"/>
      <c r="Q446" s="7"/>
      <c r="S446" s="7"/>
      <c r="U446" s="7"/>
      <c r="W446" s="7"/>
    </row>
    <row r="447">
      <c r="E447" s="62"/>
      <c r="F447" s="7"/>
      <c r="G447" s="7"/>
      <c r="I447" s="7"/>
      <c r="K447" s="62"/>
      <c r="L447" s="7"/>
      <c r="M447" s="7"/>
      <c r="O447" s="7"/>
      <c r="Q447" s="7"/>
      <c r="S447" s="7"/>
      <c r="U447" s="7"/>
      <c r="W447" s="7"/>
    </row>
    <row r="448">
      <c r="E448" s="62"/>
      <c r="F448" s="7"/>
      <c r="G448" s="7"/>
      <c r="I448" s="7"/>
      <c r="K448" s="62"/>
      <c r="L448" s="7"/>
      <c r="M448" s="7"/>
      <c r="O448" s="7"/>
      <c r="Q448" s="7"/>
      <c r="S448" s="7"/>
      <c r="U448" s="7"/>
      <c r="W448" s="7"/>
    </row>
    <row r="449">
      <c r="E449" s="62"/>
      <c r="F449" s="7"/>
      <c r="G449" s="7"/>
      <c r="I449" s="7"/>
      <c r="K449" s="62"/>
      <c r="L449" s="7"/>
      <c r="M449" s="7"/>
      <c r="O449" s="7"/>
      <c r="Q449" s="7"/>
      <c r="S449" s="7"/>
      <c r="U449" s="7"/>
      <c r="W449" s="7"/>
    </row>
    <row r="450">
      <c r="E450" s="62"/>
      <c r="F450" s="7"/>
      <c r="G450" s="7"/>
      <c r="I450" s="7"/>
      <c r="K450" s="62"/>
      <c r="L450" s="7"/>
      <c r="M450" s="7"/>
      <c r="O450" s="7"/>
      <c r="Q450" s="7"/>
      <c r="S450" s="7"/>
      <c r="U450" s="7"/>
      <c r="W450" s="7"/>
    </row>
    <row r="451">
      <c r="E451" s="62"/>
      <c r="F451" s="7"/>
      <c r="G451" s="7"/>
      <c r="I451" s="7"/>
      <c r="K451" s="62"/>
      <c r="L451" s="7"/>
      <c r="M451" s="7"/>
      <c r="O451" s="7"/>
      <c r="Q451" s="7"/>
      <c r="S451" s="7"/>
      <c r="U451" s="7"/>
      <c r="W451" s="7"/>
    </row>
    <row r="452">
      <c r="E452" s="62"/>
      <c r="F452" s="7"/>
      <c r="G452" s="7"/>
      <c r="I452" s="7"/>
      <c r="K452" s="62"/>
      <c r="L452" s="7"/>
      <c r="M452" s="7"/>
      <c r="O452" s="7"/>
      <c r="Q452" s="7"/>
      <c r="S452" s="7"/>
      <c r="U452" s="7"/>
      <c r="W452" s="7"/>
    </row>
    <row r="453">
      <c r="E453" s="62"/>
      <c r="F453" s="7"/>
      <c r="G453" s="7"/>
      <c r="I453" s="7"/>
      <c r="K453" s="62"/>
      <c r="L453" s="7"/>
      <c r="M453" s="7"/>
      <c r="O453" s="7"/>
      <c r="Q453" s="7"/>
      <c r="S453" s="7"/>
      <c r="U453" s="7"/>
      <c r="W453" s="7"/>
    </row>
    <row r="454">
      <c r="E454" s="62"/>
      <c r="F454" s="7"/>
      <c r="G454" s="7"/>
      <c r="I454" s="7"/>
      <c r="K454" s="62"/>
      <c r="L454" s="7"/>
      <c r="M454" s="7"/>
      <c r="O454" s="7"/>
      <c r="Q454" s="7"/>
      <c r="S454" s="7"/>
      <c r="U454" s="7"/>
      <c r="W454" s="7"/>
    </row>
    <row r="455">
      <c r="E455" s="62"/>
      <c r="F455" s="7"/>
      <c r="G455" s="7"/>
      <c r="I455" s="7"/>
      <c r="K455" s="62"/>
      <c r="L455" s="7"/>
      <c r="M455" s="7"/>
      <c r="O455" s="7"/>
      <c r="Q455" s="7"/>
      <c r="S455" s="7"/>
      <c r="U455" s="7"/>
      <c r="W455" s="7"/>
    </row>
    <row r="456">
      <c r="E456" s="62"/>
      <c r="F456" s="7"/>
      <c r="G456" s="7"/>
      <c r="I456" s="7"/>
      <c r="K456" s="62"/>
      <c r="L456" s="7"/>
      <c r="M456" s="7"/>
      <c r="O456" s="7"/>
      <c r="Q456" s="7"/>
      <c r="S456" s="7"/>
      <c r="U456" s="7"/>
      <c r="W456" s="7"/>
    </row>
    <row r="457">
      <c r="E457" s="62"/>
      <c r="F457" s="7"/>
      <c r="G457" s="7"/>
      <c r="I457" s="7"/>
      <c r="K457" s="62"/>
      <c r="L457" s="7"/>
      <c r="M457" s="7"/>
      <c r="O457" s="7"/>
      <c r="Q457" s="7"/>
      <c r="S457" s="7"/>
      <c r="U457" s="7"/>
      <c r="W457" s="7"/>
    </row>
    <row r="458">
      <c r="E458" s="62"/>
      <c r="F458" s="7"/>
      <c r="G458" s="7"/>
      <c r="I458" s="7"/>
      <c r="K458" s="62"/>
      <c r="L458" s="7"/>
      <c r="M458" s="7"/>
      <c r="O458" s="7"/>
      <c r="Q458" s="7"/>
      <c r="S458" s="7"/>
      <c r="U458" s="7"/>
      <c r="W458" s="7"/>
    </row>
    <row r="459">
      <c r="E459" s="62"/>
      <c r="F459" s="7"/>
      <c r="G459" s="7"/>
      <c r="I459" s="7"/>
      <c r="K459" s="62"/>
      <c r="L459" s="7"/>
      <c r="M459" s="7"/>
      <c r="O459" s="7"/>
      <c r="Q459" s="7"/>
      <c r="S459" s="7"/>
      <c r="U459" s="7"/>
      <c r="W459" s="7"/>
    </row>
    <row r="460">
      <c r="E460" s="62"/>
      <c r="F460" s="7"/>
      <c r="G460" s="7"/>
      <c r="I460" s="7"/>
      <c r="K460" s="62"/>
      <c r="L460" s="7"/>
      <c r="M460" s="7"/>
      <c r="O460" s="7"/>
      <c r="Q460" s="7"/>
      <c r="S460" s="7"/>
      <c r="U460" s="7"/>
      <c r="W460" s="7"/>
    </row>
    <row r="461">
      <c r="E461" s="62"/>
      <c r="F461" s="7"/>
      <c r="G461" s="7"/>
      <c r="I461" s="7"/>
      <c r="K461" s="62"/>
      <c r="L461" s="7"/>
      <c r="M461" s="7"/>
      <c r="O461" s="7"/>
      <c r="Q461" s="7"/>
      <c r="S461" s="7"/>
      <c r="U461" s="7"/>
      <c r="W461" s="7"/>
    </row>
    <row r="462">
      <c r="E462" s="62"/>
      <c r="F462" s="7"/>
      <c r="G462" s="7"/>
      <c r="I462" s="7"/>
      <c r="K462" s="62"/>
      <c r="L462" s="7"/>
      <c r="M462" s="7"/>
      <c r="O462" s="7"/>
      <c r="Q462" s="7"/>
      <c r="S462" s="7"/>
      <c r="U462" s="7"/>
      <c r="W462" s="7"/>
    </row>
    <row r="463">
      <c r="E463" s="62"/>
      <c r="F463" s="7"/>
      <c r="G463" s="7"/>
      <c r="I463" s="7"/>
      <c r="K463" s="62"/>
      <c r="L463" s="7"/>
      <c r="M463" s="7"/>
      <c r="O463" s="7"/>
      <c r="Q463" s="7"/>
      <c r="S463" s="7"/>
      <c r="U463" s="7"/>
      <c r="W463" s="7"/>
    </row>
    <row r="464">
      <c r="E464" s="62"/>
      <c r="F464" s="7"/>
      <c r="G464" s="7"/>
      <c r="I464" s="7"/>
      <c r="K464" s="62"/>
      <c r="L464" s="7"/>
      <c r="M464" s="7"/>
      <c r="O464" s="7"/>
      <c r="Q464" s="7"/>
      <c r="S464" s="7"/>
      <c r="U464" s="7"/>
      <c r="W464" s="7"/>
    </row>
    <row r="465">
      <c r="E465" s="62"/>
      <c r="F465" s="7"/>
      <c r="G465" s="7"/>
      <c r="I465" s="7"/>
      <c r="K465" s="62"/>
      <c r="L465" s="7"/>
      <c r="M465" s="7"/>
      <c r="O465" s="7"/>
      <c r="Q465" s="7"/>
      <c r="S465" s="7"/>
      <c r="U465" s="7"/>
      <c r="W465" s="7"/>
    </row>
    <row r="466">
      <c r="E466" s="62"/>
      <c r="F466" s="7"/>
      <c r="G466" s="7"/>
      <c r="I466" s="7"/>
      <c r="K466" s="62"/>
      <c r="L466" s="7"/>
      <c r="M466" s="7"/>
      <c r="O466" s="7"/>
      <c r="Q466" s="7"/>
      <c r="S466" s="7"/>
      <c r="U466" s="7"/>
      <c r="W466" s="7"/>
    </row>
    <row r="467">
      <c r="E467" s="62"/>
      <c r="F467" s="7"/>
      <c r="G467" s="7"/>
      <c r="I467" s="7"/>
      <c r="K467" s="62"/>
      <c r="L467" s="7"/>
      <c r="M467" s="7"/>
      <c r="O467" s="7"/>
      <c r="Q467" s="7"/>
      <c r="S467" s="7"/>
      <c r="U467" s="7"/>
      <c r="W467" s="7"/>
    </row>
    <row r="468">
      <c r="E468" s="62"/>
      <c r="F468" s="7"/>
      <c r="G468" s="7"/>
      <c r="I468" s="7"/>
      <c r="K468" s="62"/>
      <c r="L468" s="7"/>
      <c r="M468" s="7"/>
      <c r="O468" s="7"/>
      <c r="Q468" s="7"/>
      <c r="S468" s="7"/>
      <c r="U468" s="7"/>
      <c r="W468" s="7"/>
    </row>
    <row r="469">
      <c r="E469" s="62"/>
      <c r="F469" s="7"/>
      <c r="G469" s="7"/>
      <c r="I469" s="7"/>
      <c r="K469" s="62"/>
      <c r="L469" s="7"/>
      <c r="M469" s="7"/>
      <c r="O469" s="7"/>
      <c r="Q469" s="7"/>
      <c r="S469" s="7"/>
      <c r="U469" s="7"/>
      <c r="W469" s="7"/>
    </row>
    <row r="470">
      <c r="E470" s="62"/>
      <c r="F470" s="7"/>
      <c r="G470" s="7"/>
      <c r="I470" s="7"/>
      <c r="K470" s="62"/>
      <c r="L470" s="7"/>
      <c r="M470" s="7"/>
      <c r="O470" s="7"/>
      <c r="Q470" s="7"/>
      <c r="S470" s="7"/>
      <c r="U470" s="7"/>
      <c r="W470" s="7"/>
    </row>
    <row r="471">
      <c r="E471" s="62"/>
      <c r="F471" s="7"/>
      <c r="G471" s="7"/>
      <c r="I471" s="7"/>
      <c r="K471" s="62"/>
      <c r="L471" s="7"/>
      <c r="M471" s="7"/>
      <c r="O471" s="7"/>
      <c r="Q471" s="7"/>
      <c r="S471" s="7"/>
      <c r="U471" s="7"/>
      <c r="W471" s="7"/>
    </row>
    <row r="472">
      <c r="E472" s="62"/>
      <c r="F472" s="7"/>
      <c r="G472" s="7"/>
      <c r="I472" s="7"/>
      <c r="K472" s="62"/>
      <c r="L472" s="7"/>
      <c r="M472" s="7"/>
      <c r="O472" s="7"/>
      <c r="Q472" s="7"/>
      <c r="S472" s="7"/>
      <c r="U472" s="7"/>
      <c r="W472" s="7"/>
    </row>
    <row r="473">
      <c r="E473" s="62"/>
      <c r="F473" s="7"/>
      <c r="G473" s="7"/>
      <c r="I473" s="7"/>
      <c r="K473" s="62"/>
      <c r="L473" s="7"/>
      <c r="M473" s="7"/>
      <c r="O473" s="7"/>
      <c r="Q473" s="7"/>
      <c r="S473" s="7"/>
      <c r="U473" s="7"/>
      <c r="W473" s="7"/>
    </row>
    <row r="474">
      <c r="E474" s="62"/>
      <c r="F474" s="7"/>
      <c r="G474" s="7"/>
      <c r="I474" s="7"/>
      <c r="K474" s="62"/>
      <c r="L474" s="7"/>
      <c r="M474" s="7"/>
      <c r="O474" s="7"/>
      <c r="Q474" s="7"/>
      <c r="S474" s="7"/>
      <c r="U474" s="7"/>
      <c r="W474" s="7"/>
    </row>
    <row r="475">
      <c r="E475" s="62"/>
      <c r="F475" s="7"/>
      <c r="G475" s="7"/>
      <c r="I475" s="7"/>
      <c r="K475" s="62"/>
      <c r="L475" s="7"/>
      <c r="M475" s="7"/>
      <c r="O475" s="7"/>
      <c r="Q475" s="7"/>
      <c r="S475" s="7"/>
      <c r="U475" s="7"/>
      <c r="W475" s="7"/>
    </row>
    <row r="476">
      <c r="E476" s="62"/>
      <c r="F476" s="7"/>
      <c r="G476" s="7"/>
      <c r="I476" s="7"/>
      <c r="K476" s="62"/>
      <c r="L476" s="7"/>
      <c r="M476" s="7"/>
      <c r="O476" s="7"/>
      <c r="Q476" s="7"/>
      <c r="S476" s="7"/>
      <c r="U476" s="7"/>
      <c r="W476" s="7"/>
    </row>
    <row r="477">
      <c r="E477" s="62"/>
      <c r="F477" s="7"/>
      <c r="G477" s="7"/>
      <c r="I477" s="7"/>
      <c r="K477" s="62"/>
      <c r="L477" s="7"/>
      <c r="M477" s="7"/>
      <c r="O477" s="7"/>
      <c r="Q477" s="7"/>
      <c r="S477" s="7"/>
      <c r="U477" s="7"/>
      <c r="W477" s="7"/>
    </row>
    <row r="478">
      <c r="E478" s="62"/>
      <c r="F478" s="7"/>
      <c r="G478" s="7"/>
      <c r="I478" s="7"/>
      <c r="K478" s="62"/>
      <c r="L478" s="7"/>
      <c r="M478" s="7"/>
      <c r="O478" s="7"/>
      <c r="Q478" s="7"/>
      <c r="S478" s="7"/>
      <c r="U478" s="7"/>
      <c r="W478" s="7"/>
    </row>
    <row r="479">
      <c r="E479" s="62"/>
      <c r="F479" s="7"/>
      <c r="G479" s="7"/>
      <c r="I479" s="7"/>
      <c r="K479" s="62"/>
      <c r="L479" s="7"/>
      <c r="M479" s="7"/>
      <c r="O479" s="7"/>
      <c r="Q479" s="7"/>
      <c r="S479" s="7"/>
      <c r="U479" s="7"/>
      <c r="W479" s="7"/>
    </row>
    <row r="480">
      <c r="E480" s="62"/>
      <c r="F480" s="7"/>
      <c r="G480" s="7"/>
      <c r="I480" s="7"/>
      <c r="K480" s="62"/>
      <c r="L480" s="7"/>
      <c r="M480" s="7"/>
      <c r="O480" s="7"/>
      <c r="Q480" s="7"/>
      <c r="S480" s="7"/>
      <c r="U480" s="7"/>
      <c r="W480" s="7"/>
    </row>
    <row r="481">
      <c r="E481" s="62"/>
      <c r="F481" s="7"/>
      <c r="G481" s="7"/>
      <c r="I481" s="7"/>
      <c r="K481" s="62"/>
      <c r="L481" s="7"/>
      <c r="M481" s="7"/>
      <c r="O481" s="7"/>
      <c r="Q481" s="7"/>
      <c r="S481" s="7"/>
      <c r="U481" s="7"/>
      <c r="W481" s="7"/>
    </row>
    <row r="482">
      <c r="E482" s="62"/>
      <c r="F482" s="7"/>
      <c r="G482" s="7"/>
      <c r="I482" s="7"/>
      <c r="K482" s="62"/>
      <c r="L482" s="7"/>
      <c r="M482" s="7"/>
      <c r="O482" s="7"/>
      <c r="Q482" s="7"/>
      <c r="S482" s="7"/>
      <c r="U482" s="7"/>
      <c r="W482" s="7"/>
    </row>
    <row r="483">
      <c r="E483" s="62"/>
      <c r="F483" s="7"/>
      <c r="G483" s="7"/>
      <c r="I483" s="7"/>
      <c r="K483" s="62"/>
      <c r="L483" s="7"/>
      <c r="M483" s="7"/>
      <c r="O483" s="7"/>
      <c r="Q483" s="7"/>
      <c r="S483" s="7"/>
      <c r="U483" s="7"/>
      <c r="W483" s="7"/>
    </row>
    <row r="484">
      <c r="E484" s="62"/>
      <c r="F484" s="7"/>
      <c r="G484" s="7"/>
      <c r="I484" s="7"/>
      <c r="K484" s="62"/>
      <c r="L484" s="7"/>
      <c r="M484" s="7"/>
      <c r="O484" s="7"/>
      <c r="Q484" s="7"/>
      <c r="S484" s="7"/>
      <c r="U484" s="7"/>
      <c r="W484" s="7"/>
    </row>
    <row r="485">
      <c r="E485" s="62"/>
      <c r="F485" s="7"/>
      <c r="G485" s="7"/>
      <c r="I485" s="7"/>
      <c r="K485" s="62"/>
      <c r="L485" s="7"/>
      <c r="M485" s="7"/>
      <c r="O485" s="7"/>
      <c r="Q485" s="7"/>
      <c r="S485" s="7"/>
      <c r="U485" s="7"/>
      <c r="W485" s="7"/>
    </row>
    <row r="486">
      <c r="E486" s="62"/>
      <c r="F486" s="7"/>
      <c r="G486" s="7"/>
      <c r="I486" s="7"/>
      <c r="K486" s="62"/>
      <c r="L486" s="7"/>
      <c r="M486" s="7"/>
      <c r="O486" s="7"/>
      <c r="Q486" s="7"/>
      <c r="S486" s="7"/>
      <c r="U486" s="7"/>
      <c r="W486" s="7"/>
    </row>
    <row r="487">
      <c r="E487" s="62"/>
      <c r="F487" s="7"/>
      <c r="G487" s="7"/>
      <c r="I487" s="7"/>
      <c r="K487" s="62"/>
      <c r="L487" s="7"/>
      <c r="M487" s="7"/>
      <c r="O487" s="7"/>
      <c r="Q487" s="7"/>
      <c r="S487" s="7"/>
      <c r="U487" s="7"/>
      <c r="W487" s="7"/>
    </row>
    <row r="488">
      <c r="E488" s="62"/>
      <c r="F488" s="7"/>
      <c r="G488" s="7"/>
      <c r="I488" s="7"/>
      <c r="K488" s="62"/>
      <c r="L488" s="7"/>
      <c r="M488" s="7"/>
      <c r="O488" s="7"/>
      <c r="Q488" s="7"/>
      <c r="S488" s="7"/>
      <c r="U488" s="7"/>
      <c r="W488" s="7"/>
    </row>
    <row r="489">
      <c r="E489" s="62"/>
      <c r="F489" s="7"/>
      <c r="G489" s="7"/>
      <c r="I489" s="7"/>
      <c r="K489" s="62"/>
      <c r="L489" s="7"/>
      <c r="M489" s="7"/>
      <c r="O489" s="7"/>
      <c r="Q489" s="7"/>
      <c r="S489" s="7"/>
      <c r="U489" s="7"/>
      <c r="W489" s="7"/>
    </row>
    <row r="490">
      <c r="E490" s="62"/>
      <c r="F490" s="7"/>
      <c r="G490" s="7"/>
      <c r="I490" s="7"/>
      <c r="K490" s="62"/>
      <c r="L490" s="7"/>
      <c r="M490" s="7"/>
      <c r="O490" s="7"/>
      <c r="Q490" s="7"/>
      <c r="S490" s="7"/>
      <c r="U490" s="7"/>
      <c r="W490" s="7"/>
    </row>
    <row r="491">
      <c r="E491" s="62"/>
      <c r="F491" s="7"/>
      <c r="G491" s="7"/>
      <c r="I491" s="7"/>
      <c r="K491" s="62"/>
      <c r="L491" s="7"/>
      <c r="M491" s="7"/>
      <c r="O491" s="7"/>
      <c r="Q491" s="7"/>
      <c r="S491" s="7"/>
      <c r="U491" s="7"/>
      <c r="W491" s="7"/>
    </row>
    <row r="492">
      <c r="E492" s="62"/>
      <c r="F492" s="7"/>
      <c r="G492" s="7"/>
      <c r="I492" s="7"/>
      <c r="K492" s="62"/>
      <c r="L492" s="7"/>
      <c r="M492" s="7"/>
      <c r="O492" s="7"/>
      <c r="Q492" s="7"/>
      <c r="S492" s="7"/>
      <c r="U492" s="7"/>
      <c r="W492" s="7"/>
    </row>
    <row r="493">
      <c r="E493" s="62"/>
      <c r="F493" s="7"/>
      <c r="G493" s="7"/>
      <c r="I493" s="7"/>
      <c r="K493" s="62"/>
      <c r="L493" s="7"/>
      <c r="M493" s="7"/>
      <c r="O493" s="7"/>
      <c r="Q493" s="7"/>
      <c r="S493" s="7"/>
      <c r="U493" s="7"/>
      <c r="W493" s="7"/>
    </row>
    <row r="494">
      <c r="E494" s="62"/>
      <c r="F494" s="7"/>
      <c r="G494" s="7"/>
      <c r="I494" s="7"/>
      <c r="K494" s="62"/>
      <c r="L494" s="7"/>
      <c r="M494" s="7"/>
      <c r="O494" s="7"/>
      <c r="Q494" s="7"/>
      <c r="S494" s="7"/>
      <c r="U494" s="7"/>
      <c r="W494" s="7"/>
    </row>
    <row r="495">
      <c r="E495" s="62"/>
      <c r="F495" s="7"/>
      <c r="G495" s="7"/>
      <c r="I495" s="7"/>
      <c r="K495" s="62"/>
      <c r="L495" s="7"/>
      <c r="M495" s="7"/>
      <c r="O495" s="7"/>
      <c r="Q495" s="7"/>
      <c r="S495" s="7"/>
      <c r="U495" s="7"/>
      <c r="W495" s="7"/>
    </row>
    <row r="496">
      <c r="E496" s="62"/>
      <c r="F496" s="7"/>
      <c r="G496" s="7"/>
      <c r="I496" s="7"/>
      <c r="K496" s="62"/>
      <c r="L496" s="7"/>
      <c r="M496" s="7"/>
      <c r="O496" s="7"/>
      <c r="Q496" s="7"/>
      <c r="S496" s="7"/>
      <c r="U496" s="7"/>
      <c r="W496" s="7"/>
    </row>
    <row r="497">
      <c r="E497" s="62"/>
      <c r="F497" s="7"/>
      <c r="G497" s="7"/>
      <c r="I497" s="7"/>
      <c r="K497" s="62"/>
      <c r="L497" s="7"/>
      <c r="M497" s="7"/>
      <c r="O497" s="7"/>
      <c r="Q497" s="7"/>
      <c r="S497" s="7"/>
      <c r="U497" s="7"/>
      <c r="W497" s="7"/>
    </row>
    <row r="498">
      <c r="E498" s="62"/>
      <c r="F498" s="7"/>
      <c r="G498" s="7"/>
      <c r="I498" s="7"/>
      <c r="K498" s="62"/>
      <c r="L498" s="7"/>
      <c r="M498" s="7"/>
      <c r="O498" s="7"/>
      <c r="Q498" s="7"/>
      <c r="S498" s="7"/>
      <c r="U498" s="7"/>
      <c r="W498" s="7"/>
    </row>
    <row r="499">
      <c r="E499" s="62"/>
      <c r="F499" s="7"/>
      <c r="G499" s="7"/>
      <c r="I499" s="7"/>
      <c r="K499" s="62"/>
      <c r="L499" s="7"/>
      <c r="M499" s="7"/>
      <c r="O499" s="7"/>
      <c r="Q499" s="7"/>
      <c r="S499" s="7"/>
      <c r="U499" s="7"/>
      <c r="W499" s="7"/>
    </row>
    <row r="500">
      <c r="E500" s="62"/>
      <c r="F500" s="7"/>
      <c r="G500" s="7"/>
      <c r="I500" s="7"/>
      <c r="K500" s="62"/>
      <c r="L500" s="7"/>
      <c r="M500" s="7"/>
      <c r="O500" s="7"/>
      <c r="Q500" s="7"/>
      <c r="S500" s="7"/>
      <c r="U500" s="7"/>
      <c r="W500" s="7"/>
    </row>
    <row r="501">
      <c r="E501" s="62"/>
      <c r="F501" s="7"/>
      <c r="G501" s="7"/>
      <c r="I501" s="7"/>
      <c r="K501" s="62"/>
      <c r="L501" s="7"/>
      <c r="M501" s="7"/>
      <c r="O501" s="7"/>
      <c r="Q501" s="7"/>
      <c r="S501" s="7"/>
      <c r="U501" s="7"/>
      <c r="W501" s="7"/>
    </row>
    <row r="502">
      <c r="E502" s="62"/>
      <c r="F502" s="7"/>
      <c r="G502" s="7"/>
      <c r="I502" s="7"/>
      <c r="K502" s="62"/>
      <c r="L502" s="7"/>
      <c r="M502" s="7"/>
      <c r="O502" s="7"/>
      <c r="Q502" s="7"/>
      <c r="S502" s="7"/>
      <c r="U502" s="7"/>
      <c r="W502" s="7"/>
    </row>
    <row r="503">
      <c r="E503" s="62"/>
      <c r="F503" s="7"/>
      <c r="G503" s="7"/>
      <c r="I503" s="7"/>
      <c r="K503" s="62"/>
      <c r="L503" s="7"/>
      <c r="M503" s="7"/>
      <c r="O503" s="7"/>
      <c r="Q503" s="7"/>
      <c r="S503" s="7"/>
      <c r="U503" s="7"/>
      <c r="W503" s="7"/>
    </row>
    <row r="504">
      <c r="E504" s="62"/>
      <c r="F504" s="7"/>
      <c r="G504" s="7"/>
      <c r="I504" s="7"/>
      <c r="K504" s="62"/>
      <c r="L504" s="7"/>
      <c r="M504" s="7"/>
      <c r="O504" s="7"/>
      <c r="Q504" s="7"/>
      <c r="S504" s="7"/>
      <c r="U504" s="7"/>
      <c r="W504" s="7"/>
    </row>
    <row r="505">
      <c r="E505" s="62"/>
      <c r="F505" s="7"/>
      <c r="G505" s="7"/>
      <c r="I505" s="7"/>
      <c r="K505" s="62"/>
      <c r="L505" s="7"/>
      <c r="M505" s="7"/>
      <c r="O505" s="7"/>
      <c r="Q505" s="7"/>
      <c r="S505" s="7"/>
      <c r="U505" s="7"/>
      <c r="W505" s="7"/>
    </row>
    <row r="506">
      <c r="E506" s="62"/>
      <c r="F506" s="7"/>
      <c r="G506" s="7"/>
      <c r="I506" s="7"/>
      <c r="K506" s="62"/>
      <c r="L506" s="7"/>
      <c r="M506" s="7"/>
      <c r="O506" s="7"/>
      <c r="Q506" s="7"/>
      <c r="S506" s="7"/>
      <c r="U506" s="7"/>
      <c r="W506" s="7"/>
    </row>
    <row r="507">
      <c r="E507" s="62"/>
      <c r="F507" s="7"/>
      <c r="G507" s="7"/>
      <c r="I507" s="7"/>
      <c r="K507" s="62"/>
      <c r="L507" s="7"/>
      <c r="M507" s="7"/>
      <c r="O507" s="7"/>
      <c r="Q507" s="7"/>
      <c r="S507" s="7"/>
      <c r="U507" s="7"/>
      <c r="W507" s="7"/>
    </row>
    <row r="508">
      <c r="E508" s="62"/>
      <c r="F508" s="7"/>
      <c r="G508" s="7"/>
      <c r="I508" s="7"/>
      <c r="K508" s="62"/>
      <c r="L508" s="7"/>
      <c r="M508" s="7"/>
      <c r="O508" s="7"/>
      <c r="Q508" s="7"/>
      <c r="S508" s="7"/>
      <c r="U508" s="7"/>
      <c r="W508" s="7"/>
    </row>
    <row r="509">
      <c r="E509" s="62"/>
      <c r="F509" s="7"/>
      <c r="G509" s="7"/>
      <c r="I509" s="7"/>
      <c r="K509" s="62"/>
      <c r="L509" s="7"/>
      <c r="M509" s="7"/>
      <c r="O509" s="7"/>
      <c r="Q509" s="7"/>
      <c r="S509" s="7"/>
      <c r="U509" s="7"/>
      <c r="W509" s="7"/>
    </row>
    <row r="510">
      <c r="E510" s="62"/>
      <c r="F510" s="7"/>
      <c r="G510" s="7"/>
      <c r="I510" s="7"/>
      <c r="K510" s="62"/>
      <c r="L510" s="7"/>
      <c r="M510" s="7"/>
      <c r="O510" s="7"/>
      <c r="Q510" s="7"/>
      <c r="S510" s="7"/>
      <c r="U510" s="7"/>
      <c r="W510" s="7"/>
    </row>
    <row r="511">
      <c r="E511" s="62"/>
      <c r="F511" s="7"/>
      <c r="G511" s="7"/>
      <c r="I511" s="7"/>
      <c r="K511" s="62"/>
      <c r="L511" s="7"/>
      <c r="M511" s="7"/>
      <c r="O511" s="7"/>
      <c r="Q511" s="7"/>
      <c r="S511" s="7"/>
      <c r="U511" s="7"/>
      <c r="W511" s="7"/>
    </row>
    <row r="512">
      <c r="E512" s="62"/>
      <c r="F512" s="7"/>
      <c r="G512" s="7"/>
      <c r="I512" s="7"/>
      <c r="K512" s="62"/>
      <c r="L512" s="7"/>
      <c r="M512" s="7"/>
      <c r="O512" s="7"/>
      <c r="Q512" s="7"/>
      <c r="S512" s="7"/>
      <c r="U512" s="7"/>
      <c r="W512" s="7"/>
    </row>
    <row r="513">
      <c r="E513" s="62"/>
      <c r="F513" s="7"/>
      <c r="G513" s="7"/>
      <c r="I513" s="7"/>
      <c r="K513" s="62"/>
      <c r="L513" s="7"/>
      <c r="M513" s="7"/>
      <c r="O513" s="7"/>
      <c r="Q513" s="7"/>
      <c r="S513" s="7"/>
      <c r="U513" s="7"/>
      <c r="W513" s="7"/>
    </row>
    <row r="514">
      <c r="E514" s="62"/>
      <c r="F514" s="7"/>
      <c r="G514" s="7"/>
      <c r="I514" s="7"/>
      <c r="K514" s="62"/>
      <c r="L514" s="7"/>
      <c r="M514" s="7"/>
      <c r="O514" s="7"/>
      <c r="Q514" s="7"/>
      <c r="S514" s="7"/>
      <c r="U514" s="7"/>
      <c r="W514" s="7"/>
    </row>
    <row r="515">
      <c r="E515" s="62"/>
      <c r="F515" s="7"/>
      <c r="G515" s="7"/>
      <c r="I515" s="7"/>
      <c r="K515" s="62"/>
      <c r="L515" s="7"/>
      <c r="M515" s="7"/>
      <c r="O515" s="7"/>
      <c r="Q515" s="7"/>
      <c r="S515" s="7"/>
      <c r="U515" s="7"/>
      <c r="W515" s="7"/>
    </row>
    <row r="516">
      <c r="E516" s="62"/>
      <c r="F516" s="7"/>
      <c r="G516" s="7"/>
      <c r="I516" s="7"/>
      <c r="K516" s="62"/>
      <c r="L516" s="7"/>
      <c r="M516" s="7"/>
      <c r="O516" s="7"/>
      <c r="Q516" s="7"/>
      <c r="S516" s="7"/>
      <c r="U516" s="7"/>
      <c r="W516" s="7"/>
    </row>
    <row r="517">
      <c r="E517" s="62"/>
      <c r="F517" s="7"/>
      <c r="G517" s="7"/>
      <c r="I517" s="7"/>
      <c r="K517" s="62"/>
      <c r="L517" s="7"/>
      <c r="M517" s="7"/>
      <c r="O517" s="7"/>
      <c r="Q517" s="7"/>
      <c r="S517" s="7"/>
      <c r="U517" s="7"/>
      <c r="W517" s="7"/>
    </row>
    <row r="518">
      <c r="E518" s="62"/>
      <c r="F518" s="7"/>
      <c r="G518" s="7"/>
      <c r="I518" s="7"/>
      <c r="K518" s="62"/>
      <c r="L518" s="7"/>
      <c r="M518" s="7"/>
      <c r="O518" s="7"/>
      <c r="Q518" s="7"/>
      <c r="S518" s="7"/>
      <c r="U518" s="7"/>
      <c r="W518" s="7"/>
    </row>
    <row r="519">
      <c r="E519" s="62"/>
      <c r="F519" s="7"/>
      <c r="G519" s="7"/>
      <c r="I519" s="7"/>
      <c r="K519" s="62"/>
      <c r="L519" s="7"/>
      <c r="M519" s="7"/>
      <c r="O519" s="7"/>
      <c r="Q519" s="7"/>
      <c r="S519" s="7"/>
      <c r="U519" s="7"/>
      <c r="W519" s="7"/>
    </row>
    <row r="520">
      <c r="E520" s="62"/>
      <c r="F520" s="7"/>
      <c r="G520" s="7"/>
      <c r="I520" s="7"/>
      <c r="K520" s="62"/>
      <c r="L520" s="7"/>
      <c r="M520" s="7"/>
      <c r="O520" s="7"/>
      <c r="Q520" s="7"/>
      <c r="S520" s="7"/>
      <c r="U520" s="7"/>
      <c r="W520" s="7"/>
    </row>
    <row r="521">
      <c r="E521" s="62"/>
      <c r="F521" s="7"/>
      <c r="G521" s="7"/>
      <c r="I521" s="7"/>
      <c r="K521" s="62"/>
      <c r="L521" s="7"/>
      <c r="M521" s="7"/>
      <c r="O521" s="7"/>
      <c r="Q521" s="7"/>
      <c r="S521" s="7"/>
      <c r="U521" s="7"/>
      <c r="W521" s="7"/>
    </row>
    <row r="522">
      <c r="E522" s="62"/>
      <c r="F522" s="7"/>
      <c r="G522" s="7"/>
      <c r="I522" s="7"/>
      <c r="K522" s="62"/>
      <c r="L522" s="7"/>
      <c r="M522" s="7"/>
      <c r="O522" s="7"/>
      <c r="Q522" s="7"/>
      <c r="S522" s="7"/>
      <c r="U522" s="7"/>
      <c r="W522" s="7"/>
    </row>
    <row r="523">
      <c r="E523" s="62"/>
      <c r="F523" s="7"/>
      <c r="G523" s="7"/>
      <c r="I523" s="7"/>
      <c r="K523" s="62"/>
      <c r="L523" s="7"/>
      <c r="M523" s="7"/>
      <c r="O523" s="7"/>
      <c r="Q523" s="7"/>
      <c r="S523" s="7"/>
      <c r="U523" s="7"/>
      <c r="W523" s="7"/>
    </row>
    <row r="524">
      <c r="E524" s="62"/>
      <c r="F524" s="7"/>
      <c r="G524" s="7"/>
      <c r="I524" s="7"/>
      <c r="K524" s="62"/>
      <c r="L524" s="7"/>
      <c r="M524" s="7"/>
      <c r="O524" s="7"/>
      <c r="Q524" s="7"/>
      <c r="S524" s="7"/>
      <c r="U524" s="7"/>
      <c r="W524" s="7"/>
    </row>
    <row r="525">
      <c r="E525" s="62"/>
      <c r="F525" s="7"/>
      <c r="G525" s="7"/>
      <c r="I525" s="7"/>
      <c r="K525" s="62"/>
      <c r="L525" s="7"/>
      <c r="M525" s="7"/>
      <c r="O525" s="7"/>
      <c r="Q525" s="7"/>
      <c r="S525" s="7"/>
      <c r="U525" s="7"/>
      <c r="W525" s="7"/>
    </row>
    <row r="526">
      <c r="E526" s="62"/>
      <c r="F526" s="7"/>
      <c r="G526" s="7"/>
      <c r="I526" s="7"/>
      <c r="K526" s="62"/>
      <c r="L526" s="7"/>
      <c r="M526" s="7"/>
      <c r="O526" s="7"/>
      <c r="Q526" s="7"/>
      <c r="S526" s="7"/>
      <c r="U526" s="7"/>
      <c r="W526" s="7"/>
    </row>
    <row r="527">
      <c r="E527" s="62"/>
      <c r="F527" s="7"/>
      <c r="G527" s="7"/>
      <c r="I527" s="7"/>
      <c r="K527" s="62"/>
      <c r="L527" s="7"/>
      <c r="M527" s="7"/>
      <c r="O527" s="7"/>
      <c r="Q527" s="7"/>
      <c r="S527" s="7"/>
      <c r="U527" s="7"/>
      <c r="W527" s="7"/>
    </row>
    <row r="528">
      <c r="E528" s="62"/>
      <c r="F528" s="7"/>
      <c r="G528" s="7"/>
      <c r="I528" s="7"/>
      <c r="K528" s="62"/>
      <c r="L528" s="7"/>
      <c r="M528" s="7"/>
      <c r="O528" s="7"/>
      <c r="Q528" s="7"/>
      <c r="S528" s="7"/>
      <c r="U528" s="7"/>
      <c r="W528" s="7"/>
    </row>
    <row r="529">
      <c r="E529" s="62"/>
      <c r="F529" s="7"/>
      <c r="G529" s="7"/>
      <c r="I529" s="7"/>
      <c r="K529" s="62"/>
      <c r="L529" s="7"/>
      <c r="M529" s="7"/>
      <c r="O529" s="7"/>
      <c r="Q529" s="7"/>
      <c r="S529" s="7"/>
      <c r="U529" s="7"/>
      <c r="W529" s="7"/>
    </row>
    <row r="530">
      <c r="E530" s="62"/>
      <c r="F530" s="7"/>
      <c r="G530" s="7"/>
      <c r="I530" s="7"/>
      <c r="K530" s="62"/>
      <c r="L530" s="7"/>
      <c r="M530" s="7"/>
      <c r="O530" s="7"/>
      <c r="Q530" s="7"/>
      <c r="S530" s="7"/>
      <c r="U530" s="7"/>
      <c r="W530" s="7"/>
    </row>
    <row r="531">
      <c r="E531" s="62"/>
      <c r="F531" s="7"/>
      <c r="G531" s="7"/>
      <c r="I531" s="7"/>
      <c r="K531" s="62"/>
      <c r="L531" s="7"/>
      <c r="M531" s="7"/>
      <c r="O531" s="7"/>
      <c r="Q531" s="7"/>
      <c r="S531" s="7"/>
      <c r="U531" s="7"/>
      <c r="W531" s="7"/>
    </row>
    <row r="532">
      <c r="E532" s="62"/>
      <c r="F532" s="7"/>
      <c r="G532" s="7"/>
      <c r="I532" s="7"/>
      <c r="K532" s="62"/>
      <c r="L532" s="7"/>
      <c r="M532" s="7"/>
      <c r="O532" s="7"/>
      <c r="Q532" s="7"/>
      <c r="S532" s="7"/>
      <c r="U532" s="7"/>
      <c r="W532" s="7"/>
    </row>
    <row r="533">
      <c r="E533" s="62"/>
      <c r="F533" s="7"/>
      <c r="G533" s="7"/>
      <c r="I533" s="7"/>
      <c r="K533" s="62"/>
      <c r="L533" s="7"/>
      <c r="M533" s="7"/>
      <c r="O533" s="7"/>
      <c r="Q533" s="7"/>
      <c r="S533" s="7"/>
      <c r="U533" s="7"/>
      <c r="W533" s="7"/>
    </row>
    <row r="534">
      <c r="E534" s="62"/>
      <c r="F534" s="7"/>
      <c r="G534" s="7"/>
      <c r="I534" s="7"/>
      <c r="K534" s="62"/>
      <c r="L534" s="7"/>
      <c r="M534" s="7"/>
      <c r="O534" s="7"/>
      <c r="Q534" s="7"/>
      <c r="S534" s="7"/>
      <c r="U534" s="7"/>
      <c r="W534" s="7"/>
    </row>
    <row r="535">
      <c r="E535" s="62"/>
      <c r="F535" s="7"/>
      <c r="G535" s="7"/>
      <c r="I535" s="7"/>
      <c r="K535" s="62"/>
      <c r="L535" s="7"/>
      <c r="M535" s="7"/>
      <c r="O535" s="7"/>
      <c r="Q535" s="7"/>
      <c r="S535" s="7"/>
      <c r="U535" s="7"/>
      <c r="W535" s="7"/>
    </row>
    <row r="536">
      <c r="E536" s="62"/>
      <c r="F536" s="7"/>
      <c r="G536" s="7"/>
      <c r="I536" s="7"/>
      <c r="K536" s="62"/>
      <c r="L536" s="7"/>
      <c r="M536" s="7"/>
      <c r="O536" s="7"/>
      <c r="Q536" s="7"/>
      <c r="S536" s="7"/>
      <c r="U536" s="7"/>
      <c r="W536" s="7"/>
    </row>
    <row r="537">
      <c r="E537" s="62"/>
      <c r="F537" s="7"/>
      <c r="G537" s="7"/>
      <c r="I537" s="7"/>
      <c r="K537" s="62"/>
      <c r="L537" s="7"/>
      <c r="M537" s="7"/>
      <c r="O537" s="7"/>
      <c r="Q537" s="7"/>
      <c r="S537" s="7"/>
      <c r="U537" s="7"/>
      <c r="W537" s="7"/>
    </row>
    <row r="538">
      <c r="E538" s="62"/>
      <c r="F538" s="7"/>
      <c r="G538" s="7"/>
      <c r="I538" s="7"/>
      <c r="K538" s="62"/>
      <c r="L538" s="7"/>
      <c r="M538" s="7"/>
      <c r="O538" s="7"/>
      <c r="Q538" s="7"/>
      <c r="S538" s="7"/>
      <c r="U538" s="7"/>
      <c r="W538" s="7"/>
    </row>
    <row r="539">
      <c r="E539" s="62"/>
      <c r="F539" s="7"/>
      <c r="G539" s="7"/>
      <c r="I539" s="7"/>
      <c r="K539" s="62"/>
      <c r="L539" s="7"/>
      <c r="M539" s="7"/>
      <c r="O539" s="7"/>
      <c r="Q539" s="7"/>
      <c r="S539" s="7"/>
      <c r="U539" s="7"/>
      <c r="W539" s="7"/>
    </row>
    <row r="540">
      <c r="E540" s="62"/>
      <c r="F540" s="7"/>
      <c r="G540" s="7"/>
      <c r="I540" s="7"/>
      <c r="K540" s="62"/>
      <c r="L540" s="7"/>
      <c r="M540" s="7"/>
      <c r="O540" s="7"/>
      <c r="Q540" s="7"/>
      <c r="S540" s="7"/>
      <c r="U540" s="7"/>
      <c r="W540" s="7"/>
    </row>
    <row r="541">
      <c r="E541" s="62"/>
      <c r="F541" s="7"/>
      <c r="G541" s="7"/>
      <c r="I541" s="7"/>
      <c r="K541" s="62"/>
      <c r="L541" s="7"/>
      <c r="M541" s="7"/>
      <c r="O541" s="7"/>
      <c r="Q541" s="7"/>
      <c r="S541" s="7"/>
      <c r="U541" s="7"/>
      <c r="W541" s="7"/>
    </row>
    <row r="542">
      <c r="E542" s="62"/>
      <c r="F542" s="7"/>
      <c r="G542" s="7"/>
      <c r="I542" s="7"/>
      <c r="K542" s="62"/>
      <c r="L542" s="7"/>
      <c r="M542" s="7"/>
      <c r="O542" s="7"/>
      <c r="Q542" s="7"/>
      <c r="S542" s="7"/>
      <c r="U542" s="7"/>
      <c r="W542" s="7"/>
    </row>
    <row r="543">
      <c r="E543" s="62"/>
      <c r="F543" s="7"/>
      <c r="G543" s="7"/>
      <c r="I543" s="7"/>
      <c r="K543" s="62"/>
      <c r="L543" s="7"/>
      <c r="M543" s="7"/>
      <c r="O543" s="7"/>
      <c r="Q543" s="7"/>
      <c r="S543" s="7"/>
      <c r="U543" s="7"/>
      <c r="W543" s="7"/>
    </row>
    <row r="544">
      <c r="E544" s="62"/>
      <c r="F544" s="7"/>
      <c r="G544" s="7"/>
      <c r="I544" s="7"/>
      <c r="K544" s="62"/>
      <c r="L544" s="7"/>
      <c r="M544" s="7"/>
      <c r="O544" s="7"/>
      <c r="Q544" s="7"/>
      <c r="S544" s="7"/>
      <c r="U544" s="7"/>
      <c r="W544" s="7"/>
    </row>
    <row r="545">
      <c r="E545" s="62"/>
      <c r="F545" s="7"/>
      <c r="G545" s="7"/>
      <c r="I545" s="7"/>
      <c r="K545" s="62"/>
      <c r="L545" s="7"/>
      <c r="M545" s="7"/>
      <c r="O545" s="7"/>
      <c r="Q545" s="7"/>
      <c r="S545" s="7"/>
      <c r="U545" s="7"/>
      <c r="W545" s="7"/>
    </row>
    <row r="546">
      <c r="E546" s="62"/>
      <c r="F546" s="7"/>
      <c r="G546" s="7"/>
      <c r="I546" s="7"/>
      <c r="K546" s="62"/>
      <c r="L546" s="7"/>
      <c r="M546" s="7"/>
      <c r="O546" s="7"/>
      <c r="Q546" s="7"/>
      <c r="S546" s="7"/>
      <c r="U546" s="7"/>
      <c r="W546" s="7"/>
    </row>
    <row r="547">
      <c r="E547" s="62"/>
      <c r="F547" s="7"/>
      <c r="G547" s="7"/>
      <c r="I547" s="7"/>
      <c r="K547" s="62"/>
      <c r="L547" s="7"/>
      <c r="M547" s="7"/>
      <c r="O547" s="7"/>
      <c r="Q547" s="7"/>
      <c r="S547" s="7"/>
      <c r="U547" s="7"/>
      <c r="W547" s="7"/>
    </row>
    <row r="548">
      <c r="E548" s="62"/>
      <c r="F548" s="7"/>
      <c r="G548" s="7"/>
      <c r="I548" s="7"/>
      <c r="K548" s="62"/>
      <c r="L548" s="7"/>
      <c r="M548" s="7"/>
      <c r="O548" s="7"/>
      <c r="Q548" s="7"/>
      <c r="S548" s="7"/>
      <c r="U548" s="7"/>
      <c r="W548" s="7"/>
    </row>
    <row r="549">
      <c r="E549" s="62"/>
      <c r="F549" s="7"/>
      <c r="G549" s="7"/>
      <c r="I549" s="7"/>
      <c r="K549" s="62"/>
      <c r="L549" s="7"/>
      <c r="M549" s="7"/>
      <c r="O549" s="7"/>
      <c r="Q549" s="7"/>
      <c r="S549" s="7"/>
      <c r="U549" s="7"/>
      <c r="W549" s="7"/>
    </row>
    <row r="550">
      <c r="E550" s="62"/>
      <c r="F550" s="7"/>
      <c r="G550" s="7"/>
      <c r="I550" s="7"/>
      <c r="K550" s="62"/>
      <c r="L550" s="7"/>
      <c r="M550" s="7"/>
      <c r="O550" s="7"/>
      <c r="Q550" s="7"/>
      <c r="S550" s="7"/>
      <c r="U550" s="7"/>
      <c r="W550" s="7"/>
    </row>
    <row r="551">
      <c r="E551" s="62"/>
      <c r="F551" s="7"/>
      <c r="G551" s="7"/>
      <c r="I551" s="7"/>
      <c r="K551" s="62"/>
      <c r="L551" s="7"/>
      <c r="M551" s="7"/>
      <c r="O551" s="7"/>
      <c r="Q551" s="7"/>
      <c r="S551" s="7"/>
      <c r="U551" s="7"/>
      <c r="W551" s="7"/>
    </row>
    <row r="552">
      <c r="E552" s="62"/>
      <c r="F552" s="7"/>
      <c r="G552" s="7"/>
      <c r="I552" s="7"/>
      <c r="K552" s="62"/>
      <c r="L552" s="7"/>
      <c r="M552" s="7"/>
      <c r="O552" s="7"/>
      <c r="Q552" s="7"/>
      <c r="S552" s="7"/>
      <c r="U552" s="7"/>
      <c r="W552" s="7"/>
    </row>
    <row r="553">
      <c r="E553" s="62"/>
      <c r="F553" s="7"/>
      <c r="G553" s="7"/>
      <c r="I553" s="7"/>
      <c r="K553" s="62"/>
      <c r="L553" s="7"/>
      <c r="M553" s="7"/>
      <c r="O553" s="7"/>
      <c r="Q553" s="7"/>
      <c r="S553" s="7"/>
      <c r="U553" s="7"/>
      <c r="W553" s="7"/>
    </row>
    <row r="554">
      <c r="E554" s="62"/>
      <c r="F554" s="7"/>
      <c r="G554" s="7"/>
      <c r="I554" s="7"/>
      <c r="K554" s="62"/>
      <c r="L554" s="7"/>
      <c r="M554" s="7"/>
      <c r="O554" s="7"/>
      <c r="Q554" s="7"/>
      <c r="S554" s="7"/>
      <c r="U554" s="7"/>
      <c r="W554" s="7"/>
    </row>
    <row r="555">
      <c r="E555" s="62"/>
      <c r="F555" s="7"/>
      <c r="G555" s="7"/>
      <c r="I555" s="7"/>
      <c r="K555" s="62"/>
      <c r="L555" s="7"/>
      <c r="M555" s="7"/>
      <c r="O555" s="7"/>
      <c r="Q555" s="7"/>
      <c r="S555" s="7"/>
      <c r="U555" s="7"/>
      <c r="W555" s="7"/>
    </row>
    <row r="556">
      <c r="E556" s="62"/>
      <c r="F556" s="7"/>
      <c r="G556" s="7"/>
      <c r="I556" s="7"/>
      <c r="K556" s="62"/>
      <c r="L556" s="7"/>
      <c r="M556" s="7"/>
      <c r="O556" s="7"/>
      <c r="Q556" s="7"/>
      <c r="S556" s="7"/>
      <c r="U556" s="7"/>
      <c r="W556" s="7"/>
    </row>
    <row r="557">
      <c r="E557" s="62"/>
      <c r="F557" s="7"/>
      <c r="G557" s="7"/>
      <c r="I557" s="7"/>
      <c r="K557" s="62"/>
      <c r="L557" s="7"/>
      <c r="M557" s="7"/>
      <c r="O557" s="7"/>
      <c r="Q557" s="7"/>
      <c r="S557" s="7"/>
      <c r="U557" s="7"/>
      <c r="W557" s="7"/>
    </row>
    <row r="558">
      <c r="E558" s="62"/>
      <c r="F558" s="7"/>
      <c r="G558" s="7"/>
      <c r="I558" s="7"/>
      <c r="K558" s="62"/>
      <c r="L558" s="7"/>
      <c r="M558" s="7"/>
      <c r="O558" s="7"/>
      <c r="Q558" s="7"/>
      <c r="S558" s="7"/>
      <c r="U558" s="7"/>
      <c r="W558" s="7"/>
    </row>
    <row r="559">
      <c r="E559" s="62"/>
      <c r="F559" s="7"/>
      <c r="G559" s="7"/>
      <c r="I559" s="7"/>
      <c r="K559" s="62"/>
      <c r="L559" s="7"/>
      <c r="M559" s="7"/>
      <c r="O559" s="7"/>
      <c r="Q559" s="7"/>
      <c r="S559" s="7"/>
      <c r="U559" s="7"/>
      <c r="W559" s="7"/>
    </row>
    <row r="560">
      <c r="E560" s="62"/>
      <c r="F560" s="7"/>
      <c r="G560" s="7"/>
      <c r="I560" s="7"/>
      <c r="K560" s="62"/>
      <c r="L560" s="7"/>
      <c r="M560" s="7"/>
      <c r="O560" s="7"/>
      <c r="Q560" s="7"/>
      <c r="S560" s="7"/>
      <c r="U560" s="7"/>
      <c r="W560" s="7"/>
    </row>
    <row r="561">
      <c r="E561" s="62"/>
      <c r="F561" s="7"/>
      <c r="G561" s="7"/>
      <c r="I561" s="7"/>
      <c r="K561" s="62"/>
      <c r="L561" s="7"/>
      <c r="M561" s="7"/>
      <c r="O561" s="7"/>
      <c r="Q561" s="7"/>
      <c r="S561" s="7"/>
      <c r="U561" s="7"/>
      <c r="W561" s="7"/>
    </row>
    <row r="562">
      <c r="E562" s="62"/>
      <c r="F562" s="7"/>
      <c r="G562" s="7"/>
      <c r="I562" s="7"/>
      <c r="K562" s="62"/>
      <c r="L562" s="7"/>
      <c r="M562" s="7"/>
      <c r="O562" s="7"/>
      <c r="Q562" s="7"/>
      <c r="S562" s="7"/>
      <c r="U562" s="7"/>
      <c r="W562" s="7"/>
    </row>
    <row r="563">
      <c r="E563" s="62"/>
      <c r="F563" s="7"/>
      <c r="G563" s="7"/>
      <c r="I563" s="7"/>
      <c r="K563" s="62"/>
      <c r="L563" s="7"/>
      <c r="M563" s="7"/>
      <c r="O563" s="7"/>
      <c r="Q563" s="7"/>
      <c r="S563" s="7"/>
      <c r="U563" s="7"/>
      <c r="W563" s="7"/>
    </row>
    <row r="564">
      <c r="E564" s="62"/>
      <c r="F564" s="7"/>
      <c r="G564" s="7"/>
      <c r="I564" s="7"/>
      <c r="K564" s="62"/>
      <c r="L564" s="7"/>
      <c r="M564" s="7"/>
      <c r="O564" s="7"/>
      <c r="Q564" s="7"/>
      <c r="S564" s="7"/>
      <c r="U564" s="7"/>
      <c r="W564" s="7"/>
    </row>
    <row r="565">
      <c r="E565" s="62"/>
      <c r="F565" s="7"/>
      <c r="G565" s="7"/>
      <c r="I565" s="7"/>
      <c r="K565" s="62"/>
      <c r="L565" s="7"/>
      <c r="M565" s="7"/>
      <c r="O565" s="7"/>
      <c r="Q565" s="7"/>
      <c r="S565" s="7"/>
      <c r="U565" s="7"/>
      <c r="W565" s="7"/>
    </row>
    <row r="566">
      <c r="E566" s="62"/>
      <c r="F566" s="7"/>
      <c r="G566" s="7"/>
      <c r="I566" s="7"/>
      <c r="K566" s="62"/>
      <c r="L566" s="7"/>
      <c r="M566" s="7"/>
      <c r="O566" s="7"/>
      <c r="Q566" s="7"/>
      <c r="S566" s="7"/>
      <c r="U566" s="7"/>
      <c r="W566" s="7"/>
    </row>
    <row r="567">
      <c r="E567" s="62"/>
      <c r="F567" s="7"/>
      <c r="G567" s="7"/>
      <c r="I567" s="7"/>
      <c r="K567" s="62"/>
      <c r="L567" s="7"/>
      <c r="M567" s="7"/>
      <c r="O567" s="7"/>
      <c r="Q567" s="7"/>
      <c r="S567" s="7"/>
      <c r="U567" s="7"/>
      <c r="W567" s="7"/>
    </row>
    <row r="568">
      <c r="E568" s="62"/>
      <c r="F568" s="7"/>
      <c r="G568" s="7"/>
      <c r="I568" s="7"/>
      <c r="K568" s="62"/>
      <c r="L568" s="7"/>
      <c r="M568" s="7"/>
      <c r="O568" s="7"/>
      <c r="Q568" s="7"/>
      <c r="S568" s="7"/>
      <c r="U568" s="7"/>
      <c r="W568" s="7"/>
    </row>
    <row r="569">
      <c r="E569" s="62"/>
      <c r="F569" s="7"/>
      <c r="G569" s="7"/>
      <c r="I569" s="7"/>
      <c r="K569" s="62"/>
      <c r="L569" s="7"/>
      <c r="M569" s="7"/>
      <c r="O569" s="7"/>
      <c r="Q569" s="7"/>
      <c r="S569" s="7"/>
      <c r="U569" s="7"/>
      <c r="W569" s="7"/>
    </row>
    <row r="570">
      <c r="E570" s="62"/>
      <c r="F570" s="7"/>
      <c r="G570" s="7"/>
      <c r="I570" s="7"/>
      <c r="K570" s="62"/>
      <c r="L570" s="7"/>
      <c r="M570" s="7"/>
      <c r="O570" s="7"/>
      <c r="Q570" s="7"/>
      <c r="S570" s="7"/>
      <c r="U570" s="7"/>
      <c r="W570" s="7"/>
    </row>
    <row r="571">
      <c r="E571" s="62"/>
      <c r="F571" s="7"/>
      <c r="G571" s="7"/>
      <c r="I571" s="7"/>
      <c r="K571" s="62"/>
      <c r="L571" s="7"/>
      <c r="M571" s="7"/>
      <c r="O571" s="7"/>
      <c r="Q571" s="7"/>
      <c r="S571" s="7"/>
      <c r="U571" s="7"/>
      <c r="W571" s="7"/>
    </row>
    <row r="572">
      <c r="E572" s="62"/>
      <c r="F572" s="7"/>
      <c r="G572" s="7"/>
      <c r="I572" s="7"/>
      <c r="K572" s="62"/>
      <c r="L572" s="7"/>
      <c r="M572" s="7"/>
      <c r="O572" s="7"/>
      <c r="Q572" s="7"/>
      <c r="S572" s="7"/>
      <c r="U572" s="7"/>
      <c r="W572" s="7"/>
    </row>
    <row r="573">
      <c r="E573" s="62"/>
      <c r="F573" s="7"/>
      <c r="G573" s="7"/>
      <c r="I573" s="7"/>
      <c r="K573" s="62"/>
      <c r="L573" s="7"/>
      <c r="M573" s="7"/>
      <c r="O573" s="7"/>
      <c r="Q573" s="7"/>
      <c r="S573" s="7"/>
      <c r="U573" s="7"/>
      <c r="W573" s="7"/>
    </row>
    <row r="574">
      <c r="E574" s="62"/>
      <c r="F574" s="7"/>
      <c r="G574" s="7"/>
      <c r="I574" s="7"/>
      <c r="K574" s="62"/>
      <c r="L574" s="7"/>
      <c r="M574" s="7"/>
      <c r="O574" s="7"/>
      <c r="Q574" s="7"/>
      <c r="S574" s="7"/>
      <c r="U574" s="7"/>
      <c r="W574" s="7"/>
    </row>
    <row r="575">
      <c r="E575" s="62"/>
      <c r="F575" s="7"/>
      <c r="G575" s="7"/>
      <c r="I575" s="7"/>
      <c r="K575" s="62"/>
      <c r="L575" s="7"/>
      <c r="M575" s="7"/>
      <c r="O575" s="7"/>
      <c r="Q575" s="7"/>
      <c r="S575" s="7"/>
      <c r="U575" s="7"/>
      <c r="W575" s="7"/>
    </row>
    <row r="576">
      <c r="E576" s="62"/>
      <c r="F576" s="7"/>
      <c r="G576" s="7"/>
      <c r="I576" s="7"/>
      <c r="K576" s="62"/>
      <c r="L576" s="7"/>
      <c r="M576" s="7"/>
      <c r="O576" s="7"/>
      <c r="Q576" s="7"/>
      <c r="S576" s="7"/>
      <c r="U576" s="7"/>
      <c r="W576" s="7"/>
    </row>
    <row r="577">
      <c r="E577" s="62"/>
      <c r="F577" s="7"/>
      <c r="G577" s="7"/>
      <c r="I577" s="7"/>
      <c r="K577" s="62"/>
      <c r="L577" s="7"/>
      <c r="M577" s="7"/>
      <c r="O577" s="7"/>
      <c r="Q577" s="7"/>
      <c r="S577" s="7"/>
      <c r="U577" s="7"/>
      <c r="W577" s="7"/>
    </row>
    <row r="578">
      <c r="E578" s="62"/>
      <c r="F578" s="7"/>
      <c r="G578" s="7"/>
      <c r="I578" s="7"/>
      <c r="K578" s="62"/>
      <c r="L578" s="7"/>
      <c r="M578" s="7"/>
      <c r="O578" s="7"/>
      <c r="Q578" s="7"/>
      <c r="S578" s="7"/>
      <c r="U578" s="7"/>
      <c r="W578" s="7"/>
    </row>
    <row r="579">
      <c r="E579" s="62"/>
      <c r="F579" s="7"/>
      <c r="G579" s="7"/>
      <c r="I579" s="7"/>
      <c r="K579" s="62"/>
      <c r="L579" s="7"/>
      <c r="M579" s="7"/>
      <c r="O579" s="7"/>
      <c r="Q579" s="7"/>
      <c r="S579" s="7"/>
      <c r="U579" s="7"/>
      <c r="W579" s="7"/>
    </row>
    <row r="580">
      <c r="E580" s="62"/>
      <c r="F580" s="7"/>
      <c r="G580" s="7"/>
      <c r="I580" s="7"/>
      <c r="K580" s="62"/>
      <c r="L580" s="7"/>
      <c r="M580" s="7"/>
      <c r="O580" s="7"/>
      <c r="Q580" s="7"/>
      <c r="S580" s="7"/>
      <c r="U580" s="7"/>
      <c r="W580" s="7"/>
    </row>
    <row r="581">
      <c r="E581" s="62"/>
      <c r="F581" s="7"/>
      <c r="G581" s="7"/>
      <c r="I581" s="7"/>
      <c r="K581" s="62"/>
      <c r="L581" s="7"/>
      <c r="M581" s="7"/>
      <c r="O581" s="7"/>
      <c r="Q581" s="7"/>
      <c r="S581" s="7"/>
      <c r="U581" s="7"/>
      <c r="W581" s="7"/>
    </row>
    <row r="582">
      <c r="E582" s="62"/>
      <c r="F582" s="7"/>
      <c r="G582" s="7"/>
      <c r="I582" s="7"/>
      <c r="K582" s="62"/>
      <c r="L582" s="7"/>
      <c r="M582" s="7"/>
      <c r="O582" s="7"/>
      <c r="Q582" s="7"/>
      <c r="S582" s="7"/>
      <c r="U582" s="7"/>
      <c r="W582" s="7"/>
    </row>
    <row r="583">
      <c r="E583" s="62"/>
      <c r="F583" s="7"/>
      <c r="G583" s="7"/>
      <c r="I583" s="7"/>
      <c r="K583" s="62"/>
      <c r="L583" s="7"/>
      <c r="M583" s="7"/>
      <c r="O583" s="7"/>
      <c r="Q583" s="7"/>
      <c r="S583" s="7"/>
      <c r="U583" s="7"/>
      <c r="W583" s="7"/>
    </row>
    <row r="584">
      <c r="E584" s="62"/>
      <c r="F584" s="7"/>
      <c r="G584" s="7"/>
      <c r="I584" s="7"/>
      <c r="K584" s="62"/>
      <c r="L584" s="7"/>
      <c r="M584" s="7"/>
      <c r="O584" s="7"/>
      <c r="Q584" s="7"/>
      <c r="S584" s="7"/>
      <c r="U584" s="7"/>
      <c r="W584" s="7"/>
    </row>
    <row r="585">
      <c r="E585" s="62"/>
      <c r="F585" s="7"/>
      <c r="G585" s="7"/>
      <c r="I585" s="7"/>
      <c r="K585" s="62"/>
      <c r="L585" s="7"/>
      <c r="M585" s="7"/>
      <c r="O585" s="7"/>
      <c r="Q585" s="7"/>
      <c r="S585" s="7"/>
      <c r="U585" s="7"/>
      <c r="W585" s="7"/>
    </row>
    <row r="586">
      <c r="E586" s="62"/>
      <c r="F586" s="7"/>
      <c r="G586" s="7"/>
      <c r="I586" s="7"/>
      <c r="K586" s="62"/>
      <c r="L586" s="7"/>
      <c r="M586" s="7"/>
      <c r="O586" s="7"/>
      <c r="Q586" s="7"/>
      <c r="S586" s="7"/>
      <c r="U586" s="7"/>
      <c r="W586" s="7"/>
    </row>
    <row r="587">
      <c r="E587" s="62"/>
      <c r="F587" s="7"/>
      <c r="G587" s="7"/>
      <c r="I587" s="7"/>
      <c r="K587" s="62"/>
      <c r="L587" s="7"/>
      <c r="M587" s="7"/>
      <c r="O587" s="7"/>
      <c r="Q587" s="7"/>
      <c r="S587" s="7"/>
      <c r="U587" s="7"/>
      <c r="W587" s="7"/>
    </row>
    <row r="588">
      <c r="E588" s="62"/>
      <c r="F588" s="7"/>
      <c r="G588" s="7"/>
      <c r="I588" s="7"/>
      <c r="K588" s="62"/>
      <c r="L588" s="7"/>
      <c r="M588" s="7"/>
      <c r="O588" s="7"/>
      <c r="Q588" s="7"/>
      <c r="S588" s="7"/>
      <c r="U588" s="7"/>
      <c r="W588" s="7"/>
    </row>
    <row r="589">
      <c r="E589" s="62"/>
      <c r="F589" s="7"/>
      <c r="G589" s="7"/>
      <c r="I589" s="7"/>
      <c r="K589" s="62"/>
      <c r="L589" s="7"/>
      <c r="M589" s="7"/>
      <c r="O589" s="7"/>
      <c r="Q589" s="7"/>
      <c r="S589" s="7"/>
      <c r="U589" s="7"/>
      <c r="W589" s="7"/>
    </row>
    <row r="590">
      <c r="E590" s="62"/>
      <c r="F590" s="7"/>
      <c r="G590" s="7"/>
      <c r="I590" s="7"/>
      <c r="K590" s="62"/>
      <c r="L590" s="7"/>
      <c r="M590" s="7"/>
      <c r="O590" s="7"/>
      <c r="Q590" s="7"/>
      <c r="S590" s="7"/>
      <c r="U590" s="7"/>
      <c r="W590" s="7"/>
    </row>
    <row r="591">
      <c r="E591" s="62"/>
      <c r="F591" s="7"/>
      <c r="G591" s="7"/>
      <c r="I591" s="7"/>
      <c r="K591" s="62"/>
      <c r="L591" s="7"/>
      <c r="M591" s="7"/>
      <c r="O591" s="7"/>
      <c r="Q591" s="7"/>
      <c r="S591" s="7"/>
      <c r="U591" s="7"/>
      <c r="W591" s="7"/>
    </row>
    <row r="592">
      <c r="E592" s="62"/>
      <c r="F592" s="7"/>
      <c r="G592" s="7"/>
      <c r="I592" s="7"/>
      <c r="K592" s="62"/>
      <c r="L592" s="7"/>
      <c r="M592" s="7"/>
      <c r="O592" s="7"/>
      <c r="Q592" s="7"/>
      <c r="S592" s="7"/>
      <c r="U592" s="7"/>
      <c r="W592" s="7"/>
    </row>
    <row r="593">
      <c r="E593" s="62"/>
      <c r="F593" s="7"/>
      <c r="G593" s="7"/>
      <c r="I593" s="7"/>
      <c r="K593" s="62"/>
      <c r="L593" s="7"/>
      <c r="M593" s="7"/>
      <c r="O593" s="7"/>
      <c r="Q593" s="7"/>
      <c r="S593" s="7"/>
      <c r="U593" s="7"/>
      <c r="W593" s="7"/>
    </row>
    <row r="594">
      <c r="E594" s="62"/>
      <c r="F594" s="7"/>
      <c r="G594" s="7"/>
      <c r="I594" s="7"/>
      <c r="K594" s="62"/>
      <c r="L594" s="7"/>
      <c r="M594" s="7"/>
      <c r="O594" s="7"/>
      <c r="Q594" s="7"/>
      <c r="S594" s="7"/>
      <c r="U594" s="7"/>
      <c r="W594" s="7"/>
    </row>
    <row r="595">
      <c r="E595" s="62"/>
      <c r="F595" s="7"/>
      <c r="G595" s="7"/>
      <c r="I595" s="7"/>
      <c r="K595" s="62"/>
      <c r="L595" s="7"/>
      <c r="M595" s="7"/>
      <c r="O595" s="7"/>
      <c r="Q595" s="7"/>
      <c r="S595" s="7"/>
      <c r="U595" s="7"/>
      <c r="W595" s="7"/>
    </row>
    <row r="596">
      <c r="E596" s="62"/>
      <c r="F596" s="7"/>
      <c r="G596" s="7"/>
      <c r="I596" s="7"/>
      <c r="K596" s="62"/>
      <c r="L596" s="7"/>
      <c r="M596" s="7"/>
      <c r="O596" s="7"/>
      <c r="Q596" s="7"/>
      <c r="S596" s="7"/>
      <c r="U596" s="7"/>
      <c r="W596" s="7"/>
    </row>
    <row r="597">
      <c r="E597" s="62"/>
      <c r="F597" s="7"/>
      <c r="G597" s="7"/>
      <c r="I597" s="7"/>
      <c r="K597" s="62"/>
      <c r="L597" s="7"/>
      <c r="M597" s="7"/>
      <c r="O597" s="7"/>
      <c r="Q597" s="7"/>
      <c r="S597" s="7"/>
      <c r="U597" s="7"/>
      <c r="W597" s="7"/>
    </row>
    <row r="598">
      <c r="E598" s="62"/>
      <c r="F598" s="7"/>
      <c r="G598" s="7"/>
      <c r="I598" s="7"/>
      <c r="K598" s="62"/>
      <c r="L598" s="7"/>
      <c r="M598" s="7"/>
      <c r="O598" s="7"/>
      <c r="Q598" s="7"/>
      <c r="S598" s="7"/>
      <c r="U598" s="7"/>
      <c r="W598" s="7"/>
    </row>
    <row r="599">
      <c r="E599" s="62"/>
      <c r="F599" s="7"/>
      <c r="G599" s="7"/>
      <c r="I599" s="7"/>
      <c r="K599" s="62"/>
      <c r="L599" s="7"/>
      <c r="M599" s="7"/>
      <c r="O599" s="7"/>
      <c r="Q599" s="7"/>
      <c r="S599" s="7"/>
      <c r="U599" s="7"/>
      <c r="W599" s="7"/>
    </row>
    <row r="600">
      <c r="E600" s="62"/>
      <c r="F600" s="7"/>
      <c r="G600" s="7"/>
      <c r="I600" s="7"/>
      <c r="K600" s="62"/>
      <c r="L600" s="7"/>
      <c r="M600" s="7"/>
      <c r="O600" s="7"/>
      <c r="Q600" s="7"/>
      <c r="S600" s="7"/>
      <c r="U600" s="7"/>
      <c r="W600" s="7"/>
    </row>
    <row r="601">
      <c r="E601" s="62"/>
      <c r="F601" s="7"/>
      <c r="G601" s="7"/>
      <c r="I601" s="7"/>
      <c r="K601" s="62"/>
      <c r="L601" s="7"/>
      <c r="M601" s="7"/>
      <c r="O601" s="7"/>
      <c r="Q601" s="7"/>
      <c r="S601" s="7"/>
      <c r="U601" s="7"/>
      <c r="W601" s="7"/>
    </row>
    <row r="602">
      <c r="E602" s="62"/>
      <c r="F602" s="7"/>
      <c r="G602" s="7"/>
      <c r="I602" s="7"/>
      <c r="K602" s="62"/>
      <c r="L602" s="7"/>
      <c r="M602" s="7"/>
      <c r="O602" s="7"/>
      <c r="Q602" s="7"/>
      <c r="S602" s="7"/>
      <c r="U602" s="7"/>
      <c r="W602" s="7"/>
    </row>
    <row r="603">
      <c r="E603" s="62"/>
      <c r="F603" s="7"/>
      <c r="G603" s="7"/>
      <c r="I603" s="7"/>
      <c r="K603" s="62"/>
      <c r="L603" s="7"/>
      <c r="M603" s="7"/>
      <c r="O603" s="7"/>
      <c r="Q603" s="7"/>
      <c r="S603" s="7"/>
      <c r="U603" s="7"/>
      <c r="W603" s="7"/>
    </row>
    <row r="604">
      <c r="E604" s="62"/>
      <c r="F604" s="7"/>
      <c r="G604" s="7"/>
      <c r="I604" s="7"/>
      <c r="K604" s="62"/>
      <c r="L604" s="7"/>
      <c r="M604" s="7"/>
      <c r="O604" s="7"/>
      <c r="Q604" s="7"/>
      <c r="S604" s="7"/>
      <c r="U604" s="7"/>
      <c r="W604" s="7"/>
    </row>
    <row r="605">
      <c r="E605" s="62"/>
      <c r="F605" s="7"/>
      <c r="G605" s="7"/>
      <c r="I605" s="7"/>
      <c r="K605" s="62"/>
      <c r="L605" s="7"/>
      <c r="M605" s="7"/>
      <c r="O605" s="7"/>
      <c r="Q605" s="7"/>
      <c r="S605" s="7"/>
      <c r="U605" s="7"/>
      <c r="W605" s="7"/>
    </row>
    <row r="606">
      <c r="E606" s="62"/>
      <c r="F606" s="7"/>
      <c r="G606" s="7"/>
      <c r="I606" s="7"/>
      <c r="K606" s="62"/>
      <c r="L606" s="7"/>
      <c r="M606" s="7"/>
      <c r="O606" s="7"/>
      <c r="Q606" s="7"/>
      <c r="S606" s="7"/>
      <c r="U606" s="7"/>
      <c r="W606" s="7"/>
    </row>
    <row r="607">
      <c r="E607" s="62"/>
      <c r="F607" s="7"/>
      <c r="G607" s="7"/>
      <c r="I607" s="7"/>
      <c r="K607" s="62"/>
      <c r="L607" s="7"/>
      <c r="M607" s="7"/>
      <c r="O607" s="7"/>
      <c r="Q607" s="7"/>
      <c r="S607" s="7"/>
      <c r="U607" s="7"/>
      <c r="W607" s="7"/>
    </row>
    <row r="608">
      <c r="E608" s="62"/>
      <c r="F608" s="7"/>
      <c r="G608" s="7"/>
      <c r="I608" s="7"/>
      <c r="K608" s="62"/>
      <c r="L608" s="7"/>
      <c r="M608" s="7"/>
      <c r="O608" s="7"/>
      <c r="Q608" s="7"/>
      <c r="S608" s="7"/>
      <c r="U608" s="7"/>
      <c r="W608" s="7"/>
    </row>
    <row r="609">
      <c r="E609" s="62"/>
      <c r="F609" s="7"/>
      <c r="G609" s="7"/>
      <c r="I609" s="7"/>
      <c r="K609" s="62"/>
      <c r="L609" s="7"/>
      <c r="M609" s="7"/>
      <c r="O609" s="7"/>
      <c r="Q609" s="7"/>
      <c r="S609" s="7"/>
      <c r="U609" s="7"/>
      <c r="W609" s="7"/>
    </row>
    <row r="610">
      <c r="E610" s="62"/>
      <c r="F610" s="7"/>
      <c r="G610" s="7"/>
      <c r="I610" s="7"/>
      <c r="K610" s="62"/>
      <c r="L610" s="7"/>
      <c r="M610" s="7"/>
      <c r="O610" s="7"/>
      <c r="Q610" s="7"/>
      <c r="S610" s="7"/>
      <c r="U610" s="7"/>
      <c r="W610" s="7"/>
    </row>
    <row r="611">
      <c r="E611" s="62"/>
      <c r="F611" s="7"/>
      <c r="G611" s="7"/>
      <c r="I611" s="7"/>
      <c r="K611" s="62"/>
      <c r="L611" s="7"/>
      <c r="M611" s="7"/>
      <c r="O611" s="7"/>
      <c r="Q611" s="7"/>
      <c r="S611" s="7"/>
      <c r="U611" s="7"/>
      <c r="W611" s="7"/>
    </row>
    <row r="612">
      <c r="E612" s="62"/>
      <c r="F612" s="7"/>
      <c r="G612" s="7"/>
      <c r="I612" s="7"/>
      <c r="K612" s="62"/>
      <c r="L612" s="7"/>
      <c r="M612" s="7"/>
      <c r="O612" s="7"/>
      <c r="Q612" s="7"/>
      <c r="S612" s="7"/>
      <c r="U612" s="7"/>
      <c r="W612" s="7"/>
    </row>
    <row r="613">
      <c r="E613" s="62"/>
      <c r="F613" s="7"/>
      <c r="G613" s="7"/>
      <c r="I613" s="7"/>
      <c r="K613" s="62"/>
      <c r="L613" s="7"/>
      <c r="M613" s="7"/>
      <c r="O613" s="7"/>
      <c r="Q613" s="7"/>
      <c r="S613" s="7"/>
      <c r="U613" s="7"/>
      <c r="W613" s="7"/>
    </row>
    <row r="614">
      <c r="E614" s="62"/>
      <c r="F614" s="7"/>
      <c r="G614" s="7"/>
      <c r="I614" s="7"/>
      <c r="K614" s="62"/>
      <c r="L614" s="7"/>
      <c r="M614" s="7"/>
      <c r="O614" s="7"/>
      <c r="Q614" s="7"/>
      <c r="S614" s="7"/>
      <c r="U614" s="7"/>
      <c r="W614" s="7"/>
    </row>
    <row r="615">
      <c r="E615" s="62"/>
      <c r="F615" s="7"/>
      <c r="G615" s="7"/>
      <c r="I615" s="7"/>
      <c r="K615" s="62"/>
      <c r="L615" s="7"/>
      <c r="M615" s="7"/>
      <c r="O615" s="7"/>
      <c r="Q615" s="7"/>
      <c r="S615" s="7"/>
      <c r="U615" s="7"/>
      <c r="W615" s="7"/>
    </row>
    <row r="616">
      <c r="E616" s="62"/>
      <c r="F616" s="7"/>
      <c r="G616" s="7"/>
      <c r="I616" s="7"/>
      <c r="K616" s="62"/>
      <c r="L616" s="7"/>
      <c r="M616" s="7"/>
      <c r="O616" s="7"/>
      <c r="Q616" s="7"/>
      <c r="S616" s="7"/>
      <c r="U616" s="7"/>
      <c r="W616" s="7"/>
    </row>
    <row r="617">
      <c r="E617" s="62"/>
      <c r="F617" s="7"/>
      <c r="G617" s="7"/>
      <c r="I617" s="7"/>
      <c r="K617" s="62"/>
      <c r="L617" s="7"/>
      <c r="M617" s="7"/>
      <c r="O617" s="7"/>
      <c r="Q617" s="7"/>
      <c r="S617" s="7"/>
      <c r="U617" s="7"/>
      <c r="W617" s="7"/>
    </row>
    <row r="618">
      <c r="E618" s="62"/>
      <c r="F618" s="7"/>
      <c r="G618" s="7"/>
      <c r="I618" s="7"/>
      <c r="K618" s="62"/>
      <c r="L618" s="7"/>
      <c r="M618" s="7"/>
      <c r="O618" s="7"/>
      <c r="Q618" s="7"/>
      <c r="S618" s="7"/>
      <c r="U618" s="7"/>
      <c r="W618" s="7"/>
    </row>
    <row r="619">
      <c r="E619" s="62"/>
      <c r="F619" s="7"/>
      <c r="G619" s="7"/>
      <c r="I619" s="7"/>
      <c r="K619" s="62"/>
      <c r="L619" s="7"/>
      <c r="M619" s="7"/>
      <c r="O619" s="7"/>
      <c r="Q619" s="7"/>
      <c r="S619" s="7"/>
      <c r="U619" s="7"/>
      <c r="W619" s="7"/>
    </row>
    <row r="620">
      <c r="E620" s="62"/>
      <c r="F620" s="7"/>
      <c r="G620" s="7"/>
      <c r="I620" s="7"/>
      <c r="K620" s="62"/>
      <c r="L620" s="7"/>
      <c r="M620" s="7"/>
      <c r="O620" s="7"/>
      <c r="Q620" s="7"/>
      <c r="S620" s="7"/>
      <c r="U620" s="7"/>
      <c r="W620" s="7"/>
    </row>
    <row r="621">
      <c r="E621" s="62"/>
      <c r="F621" s="7"/>
      <c r="G621" s="7"/>
      <c r="I621" s="7"/>
      <c r="K621" s="62"/>
      <c r="L621" s="7"/>
      <c r="M621" s="7"/>
      <c r="O621" s="7"/>
      <c r="Q621" s="7"/>
      <c r="S621" s="7"/>
      <c r="U621" s="7"/>
      <c r="W621" s="7"/>
    </row>
    <row r="622">
      <c r="E622" s="62"/>
      <c r="F622" s="7"/>
      <c r="G622" s="7"/>
      <c r="I622" s="7"/>
      <c r="K622" s="62"/>
      <c r="L622" s="7"/>
      <c r="M622" s="7"/>
      <c r="O622" s="7"/>
      <c r="Q622" s="7"/>
      <c r="S622" s="7"/>
      <c r="U622" s="7"/>
      <c r="W622" s="7"/>
    </row>
    <row r="623">
      <c r="E623" s="62"/>
      <c r="F623" s="7"/>
      <c r="G623" s="7"/>
      <c r="I623" s="7"/>
      <c r="K623" s="62"/>
      <c r="L623" s="7"/>
      <c r="M623" s="7"/>
      <c r="O623" s="7"/>
      <c r="Q623" s="7"/>
      <c r="S623" s="7"/>
      <c r="U623" s="7"/>
      <c r="W623" s="7"/>
    </row>
    <row r="624">
      <c r="E624" s="62"/>
      <c r="F624" s="7"/>
      <c r="G624" s="7"/>
      <c r="I624" s="7"/>
      <c r="K624" s="62"/>
      <c r="L624" s="7"/>
      <c r="M624" s="7"/>
      <c r="O624" s="7"/>
      <c r="Q624" s="7"/>
      <c r="S624" s="7"/>
      <c r="U624" s="7"/>
      <c r="W624" s="7"/>
    </row>
    <row r="625">
      <c r="E625" s="62"/>
      <c r="F625" s="7"/>
      <c r="G625" s="7"/>
      <c r="I625" s="7"/>
      <c r="K625" s="62"/>
      <c r="L625" s="7"/>
      <c r="M625" s="7"/>
      <c r="O625" s="7"/>
      <c r="Q625" s="7"/>
      <c r="S625" s="7"/>
      <c r="U625" s="7"/>
      <c r="W625" s="7"/>
    </row>
    <row r="626">
      <c r="E626" s="62"/>
      <c r="F626" s="7"/>
      <c r="G626" s="7"/>
      <c r="I626" s="7"/>
      <c r="K626" s="62"/>
      <c r="L626" s="7"/>
      <c r="M626" s="7"/>
      <c r="O626" s="7"/>
      <c r="Q626" s="7"/>
      <c r="S626" s="7"/>
      <c r="U626" s="7"/>
      <c r="W626" s="7"/>
    </row>
    <row r="627">
      <c r="E627" s="62"/>
      <c r="F627" s="7"/>
      <c r="G627" s="7"/>
      <c r="I627" s="7"/>
      <c r="K627" s="62"/>
      <c r="L627" s="7"/>
      <c r="M627" s="7"/>
      <c r="O627" s="7"/>
      <c r="Q627" s="7"/>
      <c r="S627" s="7"/>
      <c r="U627" s="7"/>
      <c r="W627" s="7"/>
    </row>
    <row r="628">
      <c r="E628" s="62"/>
      <c r="F628" s="7"/>
      <c r="G628" s="7"/>
      <c r="I628" s="7"/>
      <c r="K628" s="62"/>
      <c r="L628" s="7"/>
      <c r="M628" s="7"/>
      <c r="O628" s="7"/>
      <c r="Q628" s="7"/>
      <c r="S628" s="7"/>
      <c r="U628" s="7"/>
      <c r="W628" s="7"/>
    </row>
    <row r="629">
      <c r="E629" s="62"/>
      <c r="F629" s="7"/>
      <c r="G629" s="7"/>
      <c r="I629" s="7"/>
      <c r="K629" s="62"/>
      <c r="L629" s="7"/>
      <c r="M629" s="7"/>
      <c r="O629" s="7"/>
      <c r="Q629" s="7"/>
      <c r="S629" s="7"/>
      <c r="U629" s="7"/>
      <c r="W629" s="7"/>
    </row>
    <row r="630">
      <c r="E630" s="62"/>
      <c r="F630" s="7"/>
      <c r="G630" s="7"/>
      <c r="I630" s="7"/>
      <c r="K630" s="62"/>
      <c r="L630" s="7"/>
      <c r="M630" s="7"/>
      <c r="O630" s="7"/>
      <c r="Q630" s="7"/>
      <c r="S630" s="7"/>
      <c r="U630" s="7"/>
      <c r="W630" s="7"/>
    </row>
    <row r="631">
      <c r="E631" s="62"/>
      <c r="F631" s="7"/>
      <c r="G631" s="7"/>
      <c r="I631" s="7"/>
      <c r="K631" s="62"/>
      <c r="L631" s="7"/>
      <c r="M631" s="7"/>
      <c r="O631" s="7"/>
      <c r="Q631" s="7"/>
      <c r="S631" s="7"/>
      <c r="U631" s="7"/>
      <c r="W631" s="7"/>
    </row>
    <row r="632">
      <c r="E632" s="62"/>
      <c r="F632" s="7"/>
      <c r="G632" s="7"/>
      <c r="I632" s="7"/>
      <c r="K632" s="62"/>
      <c r="L632" s="7"/>
      <c r="M632" s="7"/>
      <c r="O632" s="7"/>
      <c r="Q632" s="7"/>
      <c r="S632" s="7"/>
      <c r="U632" s="7"/>
      <c r="W632" s="7"/>
    </row>
    <row r="633">
      <c r="E633" s="62"/>
      <c r="F633" s="7"/>
      <c r="G633" s="7"/>
      <c r="I633" s="7"/>
      <c r="K633" s="62"/>
      <c r="L633" s="7"/>
      <c r="M633" s="7"/>
      <c r="O633" s="7"/>
      <c r="Q633" s="7"/>
      <c r="S633" s="7"/>
      <c r="U633" s="7"/>
      <c r="W633" s="7"/>
    </row>
    <row r="634">
      <c r="E634" s="62"/>
      <c r="F634" s="7"/>
      <c r="G634" s="7"/>
      <c r="I634" s="7"/>
      <c r="K634" s="62"/>
      <c r="L634" s="7"/>
      <c r="M634" s="7"/>
      <c r="O634" s="7"/>
      <c r="Q634" s="7"/>
      <c r="S634" s="7"/>
      <c r="U634" s="7"/>
      <c r="W634" s="7"/>
    </row>
    <row r="635">
      <c r="E635" s="62"/>
      <c r="F635" s="7"/>
      <c r="G635" s="7"/>
      <c r="I635" s="7"/>
      <c r="K635" s="62"/>
      <c r="L635" s="7"/>
      <c r="M635" s="7"/>
      <c r="O635" s="7"/>
      <c r="Q635" s="7"/>
      <c r="S635" s="7"/>
      <c r="U635" s="7"/>
      <c r="W635" s="7"/>
    </row>
    <row r="636">
      <c r="E636" s="62"/>
      <c r="F636" s="7"/>
      <c r="G636" s="7"/>
      <c r="I636" s="7"/>
      <c r="K636" s="62"/>
      <c r="L636" s="7"/>
      <c r="M636" s="7"/>
      <c r="O636" s="7"/>
      <c r="Q636" s="7"/>
      <c r="S636" s="7"/>
      <c r="U636" s="7"/>
      <c r="W636" s="7"/>
    </row>
    <row r="637">
      <c r="E637" s="62"/>
      <c r="F637" s="7"/>
      <c r="G637" s="7"/>
      <c r="I637" s="7"/>
      <c r="K637" s="62"/>
      <c r="L637" s="7"/>
      <c r="M637" s="7"/>
      <c r="O637" s="7"/>
      <c r="Q637" s="7"/>
      <c r="S637" s="7"/>
      <c r="U637" s="7"/>
      <c r="W637" s="7"/>
    </row>
    <row r="638">
      <c r="E638" s="62"/>
      <c r="F638" s="7"/>
      <c r="G638" s="7"/>
      <c r="I638" s="7"/>
      <c r="K638" s="62"/>
      <c r="L638" s="7"/>
      <c r="M638" s="7"/>
      <c r="O638" s="7"/>
      <c r="Q638" s="7"/>
      <c r="S638" s="7"/>
      <c r="U638" s="7"/>
      <c r="W638" s="7"/>
    </row>
    <row r="639">
      <c r="E639" s="62"/>
      <c r="F639" s="7"/>
      <c r="G639" s="7"/>
      <c r="I639" s="7"/>
      <c r="K639" s="62"/>
      <c r="L639" s="7"/>
      <c r="M639" s="7"/>
      <c r="O639" s="7"/>
      <c r="Q639" s="7"/>
      <c r="S639" s="7"/>
      <c r="U639" s="7"/>
      <c r="W639" s="7"/>
    </row>
    <row r="640">
      <c r="E640" s="62"/>
      <c r="F640" s="7"/>
      <c r="G640" s="7"/>
      <c r="I640" s="7"/>
      <c r="K640" s="62"/>
      <c r="L640" s="7"/>
      <c r="M640" s="7"/>
      <c r="O640" s="7"/>
      <c r="Q640" s="7"/>
      <c r="S640" s="7"/>
      <c r="U640" s="7"/>
      <c r="W640" s="7"/>
    </row>
    <row r="641">
      <c r="E641" s="62"/>
      <c r="F641" s="7"/>
      <c r="G641" s="7"/>
      <c r="I641" s="7"/>
      <c r="K641" s="62"/>
      <c r="L641" s="7"/>
      <c r="M641" s="7"/>
      <c r="O641" s="7"/>
      <c r="Q641" s="7"/>
      <c r="S641" s="7"/>
      <c r="U641" s="7"/>
      <c r="W641" s="7"/>
    </row>
    <row r="642">
      <c r="E642" s="62"/>
      <c r="F642" s="7"/>
      <c r="G642" s="7"/>
      <c r="I642" s="7"/>
      <c r="K642" s="62"/>
      <c r="L642" s="7"/>
      <c r="M642" s="7"/>
      <c r="O642" s="7"/>
      <c r="Q642" s="7"/>
      <c r="S642" s="7"/>
      <c r="U642" s="7"/>
      <c r="W642" s="7"/>
    </row>
    <row r="643">
      <c r="E643" s="62"/>
      <c r="F643" s="7"/>
      <c r="G643" s="7"/>
      <c r="I643" s="7"/>
      <c r="K643" s="62"/>
      <c r="L643" s="7"/>
      <c r="M643" s="7"/>
      <c r="O643" s="7"/>
      <c r="Q643" s="7"/>
      <c r="S643" s="7"/>
      <c r="U643" s="7"/>
      <c r="W643" s="7"/>
    </row>
    <row r="644">
      <c r="E644" s="62"/>
      <c r="F644" s="7"/>
      <c r="G644" s="7"/>
      <c r="I644" s="7"/>
      <c r="K644" s="62"/>
      <c r="L644" s="7"/>
      <c r="M644" s="7"/>
      <c r="O644" s="7"/>
      <c r="Q644" s="7"/>
      <c r="S644" s="7"/>
      <c r="U644" s="7"/>
      <c r="W644" s="7"/>
    </row>
    <row r="645">
      <c r="E645" s="62"/>
      <c r="F645" s="7"/>
      <c r="G645" s="7"/>
      <c r="I645" s="7"/>
      <c r="K645" s="62"/>
      <c r="L645" s="7"/>
      <c r="M645" s="7"/>
      <c r="O645" s="7"/>
      <c r="Q645" s="7"/>
      <c r="S645" s="7"/>
      <c r="U645" s="7"/>
      <c r="W645" s="7"/>
    </row>
    <row r="646">
      <c r="E646" s="62"/>
      <c r="F646" s="7"/>
      <c r="G646" s="7"/>
      <c r="I646" s="7"/>
      <c r="K646" s="62"/>
      <c r="L646" s="7"/>
      <c r="M646" s="7"/>
      <c r="O646" s="7"/>
      <c r="Q646" s="7"/>
      <c r="S646" s="7"/>
      <c r="U646" s="7"/>
      <c r="W646" s="7"/>
    </row>
    <row r="647">
      <c r="E647" s="62"/>
      <c r="F647" s="7"/>
      <c r="G647" s="7"/>
      <c r="I647" s="7"/>
      <c r="K647" s="62"/>
      <c r="L647" s="7"/>
      <c r="M647" s="7"/>
      <c r="O647" s="7"/>
      <c r="Q647" s="7"/>
      <c r="S647" s="7"/>
      <c r="U647" s="7"/>
      <c r="W647" s="7"/>
    </row>
    <row r="648">
      <c r="E648" s="62"/>
      <c r="F648" s="7"/>
      <c r="G648" s="7"/>
      <c r="I648" s="7"/>
      <c r="K648" s="62"/>
      <c r="L648" s="7"/>
      <c r="M648" s="7"/>
      <c r="O648" s="7"/>
      <c r="Q648" s="7"/>
      <c r="S648" s="7"/>
      <c r="U648" s="7"/>
      <c r="W648" s="7"/>
    </row>
    <row r="649">
      <c r="E649" s="62"/>
      <c r="F649" s="7"/>
      <c r="G649" s="7"/>
      <c r="I649" s="7"/>
      <c r="K649" s="62"/>
      <c r="L649" s="7"/>
      <c r="M649" s="7"/>
      <c r="O649" s="7"/>
      <c r="Q649" s="7"/>
      <c r="S649" s="7"/>
      <c r="U649" s="7"/>
      <c r="W649" s="7"/>
    </row>
    <row r="650">
      <c r="E650" s="62"/>
      <c r="F650" s="7"/>
      <c r="G650" s="7"/>
      <c r="I650" s="7"/>
      <c r="K650" s="62"/>
      <c r="L650" s="7"/>
      <c r="M650" s="7"/>
      <c r="O650" s="7"/>
      <c r="Q650" s="7"/>
      <c r="S650" s="7"/>
      <c r="U650" s="7"/>
      <c r="W650" s="7"/>
    </row>
    <row r="651">
      <c r="E651" s="62"/>
      <c r="F651" s="7"/>
      <c r="G651" s="7"/>
      <c r="I651" s="7"/>
      <c r="K651" s="62"/>
      <c r="L651" s="7"/>
      <c r="M651" s="7"/>
      <c r="O651" s="7"/>
      <c r="Q651" s="7"/>
      <c r="S651" s="7"/>
      <c r="U651" s="7"/>
      <c r="W651" s="7"/>
    </row>
    <row r="652">
      <c r="E652" s="62"/>
      <c r="F652" s="7"/>
      <c r="G652" s="7"/>
      <c r="I652" s="7"/>
      <c r="K652" s="62"/>
      <c r="L652" s="7"/>
      <c r="M652" s="7"/>
      <c r="O652" s="7"/>
      <c r="Q652" s="7"/>
      <c r="S652" s="7"/>
      <c r="U652" s="7"/>
      <c r="W652" s="7"/>
    </row>
    <row r="653">
      <c r="E653" s="62"/>
      <c r="F653" s="7"/>
      <c r="G653" s="7"/>
      <c r="I653" s="7"/>
      <c r="K653" s="62"/>
      <c r="L653" s="7"/>
      <c r="M653" s="7"/>
      <c r="O653" s="7"/>
      <c r="Q653" s="7"/>
      <c r="S653" s="7"/>
      <c r="U653" s="7"/>
      <c r="W653" s="7"/>
    </row>
    <row r="654">
      <c r="E654" s="62"/>
      <c r="F654" s="7"/>
      <c r="G654" s="7"/>
      <c r="I654" s="7"/>
      <c r="K654" s="62"/>
      <c r="L654" s="7"/>
      <c r="M654" s="7"/>
      <c r="O654" s="7"/>
      <c r="Q654" s="7"/>
      <c r="S654" s="7"/>
      <c r="U654" s="7"/>
      <c r="W654" s="7"/>
    </row>
    <row r="655">
      <c r="E655" s="62"/>
      <c r="F655" s="7"/>
      <c r="G655" s="7"/>
      <c r="I655" s="7"/>
      <c r="K655" s="62"/>
      <c r="L655" s="7"/>
      <c r="M655" s="7"/>
      <c r="O655" s="7"/>
      <c r="Q655" s="7"/>
      <c r="S655" s="7"/>
      <c r="U655" s="7"/>
      <c r="W655" s="7"/>
    </row>
    <row r="656">
      <c r="E656" s="62"/>
      <c r="F656" s="7"/>
      <c r="G656" s="7"/>
      <c r="I656" s="7"/>
      <c r="K656" s="62"/>
      <c r="L656" s="7"/>
      <c r="M656" s="7"/>
      <c r="O656" s="7"/>
      <c r="Q656" s="7"/>
      <c r="S656" s="7"/>
      <c r="U656" s="7"/>
      <c r="W656" s="7"/>
    </row>
    <row r="657">
      <c r="E657" s="62"/>
      <c r="F657" s="7"/>
      <c r="G657" s="7"/>
      <c r="I657" s="7"/>
      <c r="K657" s="62"/>
      <c r="L657" s="7"/>
      <c r="M657" s="7"/>
      <c r="O657" s="7"/>
      <c r="Q657" s="7"/>
      <c r="S657" s="7"/>
      <c r="U657" s="7"/>
      <c r="W657" s="7"/>
    </row>
    <row r="658">
      <c r="E658" s="62"/>
      <c r="F658" s="7"/>
      <c r="G658" s="7"/>
      <c r="I658" s="7"/>
      <c r="K658" s="62"/>
      <c r="L658" s="7"/>
      <c r="M658" s="7"/>
      <c r="O658" s="7"/>
      <c r="Q658" s="7"/>
      <c r="S658" s="7"/>
      <c r="U658" s="7"/>
      <c r="W658" s="7"/>
    </row>
    <row r="659">
      <c r="E659" s="62"/>
      <c r="F659" s="7"/>
      <c r="G659" s="7"/>
      <c r="I659" s="7"/>
      <c r="K659" s="62"/>
      <c r="L659" s="7"/>
      <c r="M659" s="7"/>
      <c r="O659" s="7"/>
      <c r="Q659" s="7"/>
      <c r="S659" s="7"/>
      <c r="U659" s="7"/>
      <c r="W659" s="7"/>
    </row>
    <row r="660">
      <c r="E660" s="62"/>
      <c r="F660" s="7"/>
      <c r="G660" s="7"/>
      <c r="I660" s="7"/>
      <c r="K660" s="62"/>
      <c r="L660" s="7"/>
      <c r="M660" s="7"/>
      <c r="O660" s="7"/>
      <c r="Q660" s="7"/>
      <c r="S660" s="7"/>
      <c r="U660" s="7"/>
      <c r="W660" s="7"/>
    </row>
    <row r="661">
      <c r="E661" s="62"/>
      <c r="F661" s="7"/>
      <c r="G661" s="7"/>
      <c r="I661" s="7"/>
      <c r="K661" s="62"/>
      <c r="L661" s="7"/>
      <c r="M661" s="7"/>
      <c r="O661" s="7"/>
      <c r="Q661" s="7"/>
      <c r="S661" s="7"/>
      <c r="U661" s="7"/>
      <c r="W661" s="7"/>
    </row>
    <row r="662">
      <c r="E662" s="62"/>
      <c r="F662" s="7"/>
      <c r="G662" s="7"/>
      <c r="I662" s="7"/>
      <c r="K662" s="62"/>
      <c r="L662" s="7"/>
      <c r="M662" s="7"/>
      <c r="O662" s="7"/>
      <c r="Q662" s="7"/>
      <c r="S662" s="7"/>
      <c r="U662" s="7"/>
      <c r="W662" s="7"/>
    </row>
    <row r="663">
      <c r="E663" s="62"/>
      <c r="F663" s="7"/>
      <c r="G663" s="7"/>
      <c r="I663" s="7"/>
      <c r="K663" s="62"/>
      <c r="L663" s="7"/>
      <c r="M663" s="7"/>
      <c r="O663" s="7"/>
      <c r="Q663" s="7"/>
      <c r="S663" s="7"/>
      <c r="U663" s="7"/>
      <c r="W663" s="7"/>
    </row>
    <row r="664">
      <c r="E664" s="62"/>
      <c r="F664" s="7"/>
      <c r="G664" s="7"/>
      <c r="I664" s="7"/>
      <c r="K664" s="62"/>
      <c r="L664" s="7"/>
      <c r="M664" s="7"/>
      <c r="O664" s="7"/>
      <c r="Q664" s="7"/>
      <c r="S664" s="7"/>
      <c r="U664" s="7"/>
      <c r="W664" s="7"/>
    </row>
    <row r="665">
      <c r="E665" s="62"/>
      <c r="F665" s="7"/>
      <c r="G665" s="7"/>
      <c r="I665" s="7"/>
      <c r="K665" s="62"/>
      <c r="L665" s="7"/>
      <c r="M665" s="7"/>
      <c r="O665" s="7"/>
      <c r="Q665" s="7"/>
      <c r="S665" s="7"/>
      <c r="U665" s="7"/>
      <c r="W665" s="7"/>
    </row>
    <row r="666">
      <c r="E666" s="62"/>
      <c r="F666" s="7"/>
      <c r="G666" s="7"/>
      <c r="I666" s="7"/>
      <c r="K666" s="62"/>
      <c r="L666" s="7"/>
      <c r="M666" s="7"/>
      <c r="O666" s="7"/>
      <c r="Q666" s="7"/>
      <c r="S666" s="7"/>
      <c r="U666" s="7"/>
      <c r="W666" s="7"/>
    </row>
    <row r="667">
      <c r="E667" s="62"/>
      <c r="F667" s="7"/>
      <c r="G667" s="7"/>
      <c r="I667" s="7"/>
      <c r="K667" s="62"/>
      <c r="L667" s="7"/>
      <c r="M667" s="7"/>
      <c r="O667" s="7"/>
      <c r="Q667" s="7"/>
      <c r="S667" s="7"/>
      <c r="U667" s="7"/>
      <c r="W667" s="7"/>
    </row>
    <row r="668">
      <c r="E668" s="62"/>
      <c r="F668" s="7"/>
      <c r="G668" s="7"/>
      <c r="I668" s="7"/>
      <c r="K668" s="62"/>
      <c r="L668" s="7"/>
      <c r="M668" s="7"/>
      <c r="O668" s="7"/>
      <c r="Q668" s="7"/>
      <c r="S668" s="7"/>
      <c r="U668" s="7"/>
      <c r="W668" s="7"/>
    </row>
    <row r="669">
      <c r="E669" s="62"/>
      <c r="F669" s="7"/>
      <c r="G669" s="7"/>
      <c r="I669" s="7"/>
      <c r="K669" s="62"/>
      <c r="L669" s="7"/>
      <c r="M669" s="7"/>
      <c r="O669" s="7"/>
      <c r="Q669" s="7"/>
      <c r="S669" s="7"/>
      <c r="U669" s="7"/>
      <c r="W669" s="7"/>
    </row>
    <row r="670">
      <c r="E670" s="62"/>
      <c r="F670" s="7"/>
      <c r="G670" s="7"/>
      <c r="I670" s="7"/>
      <c r="K670" s="62"/>
      <c r="L670" s="7"/>
      <c r="M670" s="7"/>
      <c r="O670" s="7"/>
      <c r="Q670" s="7"/>
      <c r="S670" s="7"/>
      <c r="U670" s="7"/>
      <c r="W670" s="7"/>
    </row>
    <row r="671">
      <c r="E671" s="62"/>
      <c r="F671" s="7"/>
      <c r="G671" s="7"/>
      <c r="I671" s="7"/>
      <c r="K671" s="62"/>
      <c r="L671" s="7"/>
      <c r="M671" s="7"/>
      <c r="O671" s="7"/>
      <c r="Q671" s="7"/>
      <c r="S671" s="7"/>
      <c r="U671" s="7"/>
      <c r="W671" s="7"/>
    </row>
    <row r="672">
      <c r="E672" s="62"/>
      <c r="F672" s="7"/>
      <c r="G672" s="7"/>
      <c r="I672" s="7"/>
      <c r="K672" s="62"/>
      <c r="L672" s="7"/>
      <c r="M672" s="7"/>
      <c r="O672" s="7"/>
      <c r="Q672" s="7"/>
      <c r="S672" s="7"/>
      <c r="U672" s="7"/>
      <c r="W672" s="7"/>
    </row>
    <row r="673">
      <c r="E673" s="62"/>
      <c r="F673" s="7"/>
      <c r="G673" s="7"/>
      <c r="I673" s="7"/>
      <c r="K673" s="62"/>
      <c r="L673" s="7"/>
      <c r="M673" s="7"/>
      <c r="O673" s="7"/>
      <c r="Q673" s="7"/>
      <c r="S673" s="7"/>
      <c r="U673" s="7"/>
      <c r="W673" s="7"/>
    </row>
    <row r="674">
      <c r="E674" s="62"/>
      <c r="F674" s="7"/>
      <c r="G674" s="7"/>
      <c r="I674" s="7"/>
      <c r="K674" s="62"/>
      <c r="L674" s="7"/>
      <c r="M674" s="7"/>
      <c r="O674" s="7"/>
      <c r="Q674" s="7"/>
      <c r="S674" s="7"/>
      <c r="U674" s="7"/>
      <c r="W674" s="7"/>
    </row>
    <row r="675">
      <c r="E675" s="62"/>
      <c r="F675" s="7"/>
      <c r="G675" s="7"/>
      <c r="I675" s="7"/>
      <c r="K675" s="62"/>
      <c r="L675" s="7"/>
      <c r="M675" s="7"/>
      <c r="O675" s="7"/>
      <c r="Q675" s="7"/>
      <c r="S675" s="7"/>
      <c r="U675" s="7"/>
      <c r="W675" s="7"/>
    </row>
    <row r="676">
      <c r="E676" s="62"/>
      <c r="F676" s="7"/>
      <c r="G676" s="7"/>
      <c r="I676" s="7"/>
      <c r="K676" s="62"/>
      <c r="L676" s="7"/>
      <c r="M676" s="7"/>
      <c r="O676" s="7"/>
      <c r="Q676" s="7"/>
      <c r="S676" s="7"/>
      <c r="U676" s="7"/>
      <c r="W676" s="7"/>
    </row>
    <row r="677">
      <c r="E677" s="62"/>
      <c r="F677" s="7"/>
      <c r="G677" s="7"/>
      <c r="I677" s="7"/>
      <c r="K677" s="62"/>
      <c r="L677" s="7"/>
      <c r="M677" s="7"/>
      <c r="O677" s="7"/>
      <c r="Q677" s="7"/>
      <c r="S677" s="7"/>
      <c r="U677" s="7"/>
      <c r="W677" s="7"/>
    </row>
    <row r="678">
      <c r="E678" s="62"/>
      <c r="F678" s="7"/>
      <c r="G678" s="7"/>
      <c r="I678" s="7"/>
      <c r="K678" s="62"/>
      <c r="L678" s="7"/>
      <c r="M678" s="7"/>
      <c r="O678" s="7"/>
      <c r="Q678" s="7"/>
      <c r="S678" s="7"/>
      <c r="U678" s="7"/>
      <c r="W678" s="7"/>
    </row>
    <row r="679">
      <c r="E679" s="62"/>
      <c r="F679" s="7"/>
      <c r="G679" s="7"/>
      <c r="I679" s="7"/>
      <c r="K679" s="62"/>
      <c r="L679" s="7"/>
      <c r="M679" s="7"/>
      <c r="O679" s="7"/>
      <c r="Q679" s="7"/>
      <c r="S679" s="7"/>
      <c r="U679" s="7"/>
      <c r="W679" s="7"/>
    </row>
    <row r="680">
      <c r="E680" s="62"/>
      <c r="F680" s="7"/>
      <c r="G680" s="7"/>
      <c r="I680" s="7"/>
      <c r="K680" s="62"/>
      <c r="L680" s="7"/>
      <c r="M680" s="7"/>
      <c r="O680" s="7"/>
      <c r="Q680" s="7"/>
      <c r="S680" s="7"/>
      <c r="U680" s="7"/>
      <c r="W680" s="7"/>
    </row>
    <row r="681">
      <c r="E681" s="62"/>
      <c r="F681" s="7"/>
      <c r="G681" s="7"/>
      <c r="I681" s="7"/>
      <c r="K681" s="62"/>
      <c r="L681" s="7"/>
      <c r="M681" s="7"/>
      <c r="O681" s="7"/>
      <c r="Q681" s="7"/>
      <c r="S681" s="7"/>
      <c r="U681" s="7"/>
      <c r="W681" s="7"/>
    </row>
    <row r="682">
      <c r="E682" s="62"/>
      <c r="F682" s="7"/>
      <c r="G682" s="7"/>
      <c r="I682" s="7"/>
      <c r="K682" s="62"/>
      <c r="L682" s="7"/>
      <c r="M682" s="7"/>
      <c r="O682" s="7"/>
      <c r="Q682" s="7"/>
      <c r="S682" s="7"/>
      <c r="U682" s="7"/>
      <c r="W682" s="7"/>
    </row>
    <row r="683">
      <c r="E683" s="62"/>
      <c r="F683" s="7"/>
      <c r="G683" s="7"/>
      <c r="I683" s="7"/>
      <c r="K683" s="62"/>
      <c r="L683" s="7"/>
      <c r="M683" s="7"/>
      <c r="O683" s="7"/>
      <c r="Q683" s="7"/>
      <c r="S683" s="7"/>
      <c r="U683" s="7"/>
      <c r="W683" s="7"/>
    </row>
    <row r="684">
      <c r="E684" s="62"/>
      <c r="F684" s="7"/>
      <c r="G684" s="7"/>
      <c r="I684" s="7"/>
      <c r="K684" s="62"/>
      <c r="L684" s="7"/>
      <c r="M684" s="7"/>
      <c r="O684" s="7"/>
      <c r="Q684" s="7"/>
      <c r="S684" s="7"/>
      <c r="U684" s="7"/>
      <c r="W684" s="7"/>
    </row>
    <row r="685">
      <c r="E685" s="62"/>
      <c r="F685" s="7"/>
      <c r="G685" s="7"/>
      <c r="I685" s="7"/>
      <c r="K685" s="62"/>
      <c r="L685" s="7"/>
      <c r="M685" s="7"/>
      <c r="O685" s="7"/>
      <c r="Q685" s="7"/>
      <c r="S685" s="7"/>
      <c r="U685" s="7"/>
      <c r="W685" s="7"/>
    </row>
    <row r="686">
      <c r="E686" s="62"/>
      <c r="F686" s="7"/>
      <c r="G686" s="7"/>
      <c r="I686" s="7"/>
      <c r="K686" s="62"/>
      <c r="L686" s="7"/>
      <c r="M686" s="7"/>
      <c r="O686" s="7"/>
      <c r="Q686" s="7"/>
      <c r="S686" s="7"/>
      <c r="U686" s="7"/>
      <c r="W686" s="7"/>
    </row>
    <row r="687">
      <c r="E687" s="62"/>
      <c r="F687" s="7"/>
      <c r="G687" s="7"/>
      <c r="I687" s="7"/>
      <c r="K687" s="62"/>
      <c r="L687" s="7"/>
      <c r="M687" s="7"/>
      <c r="O687" s="7"/>
      <c r="Q687" s="7"/>
      <c r="S687" s="7"/>
      <c r="U687" s="7"/>
      <c r="W687" s="7"/>
    </row>
    <row r="688">
      <c r="E688" s="62"/>
      <c r="F688" s="7"/>
      <c r="G688" s="7"/>
      <c r="I688" s="7"/>
      <c r="K688" s="62"/>
      <c r="L688" s="7"/>
      <c r="M688" s="7"/>
      <c r="O688" s="7"/>
      <c r="Q688" s="7"/>
      <c r="S688" s="7"/>
      <c r="U688" s="7"/>
      <c r="W688" s="7"/>
    </row>
    <row r="689">
      <c r="E689" s="62"/>
      <c r="F689" s="7"/>
      <c r="G689" s="7"/>
      <c r="I689" s="7"/>
      <c r="K689" s="62"/>
      <c r="L689" s="7"/>
      <c r="M689" s="7"/>
      <c r="O689" s="7"/>
      <c r="Q689" s="7"/>
      <c r="S689" s="7"/>
      <c r="U689" s="7"/>
      <c r="W689" s="7"/>
    </row>
    <row r="690">
      <c r="E690" s="62"/>
      <c r="F690" s="7"/>
      <c r="G690" s="7"/>
      <c r="I690" s="7"/>
      <c r="K690" s="62"/>
      <c r="L690" s="7"/>
      <c r="M690" s="7"/>
      <c r="O690" s="7"/>
      <c r="Q690" s="7"/>
      <c r="S690" s="7"/>
      <c r="U690" s="7"/>
      <c r="W690" s="7"/>
    </row>
    <row r="691">
      <c r="E691" s="62"/>
      <c r="F691" s="7"/>
      <c r="G691" s="7"/>
      <c r="I691" s="7"/>
      <c r="K691" s="62"/>
      <c r="L691" s="7"/>
      <c r="M691" s="7"/>
      <c r="O691" s="7"/>
      <c r="Q691" s="7"/>
      <c r="S691" s="7"/>
      <c r="U691" s="7"/>
      <c r="W691" s="7"/>
    </row>
    <row r="692">
      <c r="E692" s="62"/>
      <c r="F692" s="7"/>
      <c r="G692" s="7"/>
      <c r="I692" s="7"/>
      <c r="K692" s="62"/>
      <c r="L692" s="7"/>
      <c r="M692" s="7"/>
      <c r="O692" s="7"/>
      <c r="Q692" s="7"/>
      <c r="S692" s="7"/>
      <c r="U692" s="7"/>
      <c r="W692" s="7"/>
    </row>
    <row r="693">
      <c r="E693" s="62"/>
      <c r="F693" s="7"/>
      <c r="G693" s="7"/>
      <c r="I693" s="7"/>
      <c r="K693" s="62"/>
      <c r="L693" s="7"/>
      <c r="M693" s="7"/>
      <c r="O693" s="7"/>
      <c r="Q693" s="7"/>
      <c r="S693" s="7"/>
      <c r="U693" s="7"/>
      <c r="W693" s="7"/>
    </row>
    <row r="694">
      <c r="E694" s="62"/>
      <c r="F694" s="7"/>
      <c r="G694" s="7"/>
      <c r="I694" s="7"/>
      <c r="K694" s="62"/>
      <c r="L694" s="7"/>
      <c r="M694" s="7"/>
      <c r="O694" s="7"/>
      <c r="Q694" s="7"/>
      <c r="S694" s="7"/>
      <c r="U694" s="7"/>
      <c r="W694" s="7"/>
    </row>
    <row r="695">
      <c r="E695" s="62"/>
      <c r="F695" s="7"/>
      <c r="G695" s="7"/>
      <c r="I695" s="7"/>
      <c r="K695" s="62"/>
      <c r="L695" s="7"/>
      <c r="M695" s="7"/>
      <c r="O695" s="7"/>
      <c r="Q695" s="7"/>
      <c r="S695" s="7"/>
      <c r="U695" s="7"/>
      <c r="W695" s="7"/>
    </row>
    <row r="696">
      <c r="E696" s="62"/>
      <c r="F696" s="7"/>
      <c r="G696" s="7"/>
      <c r="I696" s="7"/>
      <c r="K696" s="62"/>
      <c r="L696" s="7"/>
      <c r="M696" s="7"/>
      <c r="O696" s="7"/>
      <c r="Q696" s="7"/>
      <c r="S696" s="7"/>
      <c r="U696" s="7"/>
      <c r="W696" s="7"/>
    </row>
    <row r="697">
      <c r="E697" s="62"/>
      <c r="F697" s="7"/>
      <c r="G697" s="7"/>
      <c r="I697" s="7"/>
      <c r="K697" s="62"/>
      <c r="L697" s="7"/>
      <c r="M697" s="7"/>
      <c r="O697" s="7"/>
      <c r="Q697" s="7"/>
      <c r="S697" s="7"/>
      <c r="U697" s="7"/>
      <c r="W697" s="7"/>
    </row>
    <row r="698">
      <c r="E698" s="62"/>
      <c r="F698" s="7"/>
      <c r="G698" s="7"/>
      <c r="I698" s="7"/>
      <c r="K698" s="62"/>
      <c r="L698" s="7"/>
      <c r="M698" s="7"/>
      <c r="O698" s="7"/>
      <c r="Q698" s="7"/>
      <c r="S698" s="7"/>
      <c r="U698" s="7"/>
      <c r="W698" s="7"/>
    </row>
    <row r="699">
      <c r="E699" s="62"/>
      <c r="F699" s="7"/>
      <c r="G699" s="7"/>
      <c r="I699" s="7"/>
      <c r="K699" s="62"/>
      <c r="L699" s="7"/>
      <c r="M699" s="7"/>
      <c r="O699" s="7"/>
      <c r="Q699" s="7"/>
      <c r="S699" s="7"/>
      <c r="U699" s="7"/>
      <c r="W699" s="7"/>
    </row>
    <row r="700">
      <c r="E700" s="62"/>
      <c r="F700" s="7"/>
      <c r="G700" s="7"/>
      <c r="I700" s="7"/>
      <c r="K700" s="62"/>
      <c r="L700" s="7"/>
      <c r="M700" s="7"/>
      <c r="O700" s="7"/>
      <c r="Q700" s="7"/>
      <c r="S700" s="7"/>
      <c r="U700" s="7"/>
      <c r="W700" s="7"/>
    </row>
    <row r="701">
      <c r="E701" s="62"/>
      <c r="F701" s="7"/>
      <c r="G701" s="7"/>
      <c r="I701" s="7"/>
      <c r="K701" s="62"/>
      <c r="L701" s="7"/>
      <c r="M701" s="7"/>
      <c r="O701" s="7"/>
      <c r="Q701" s="7"/>
      <c r="S701" s="7"/>
      <c r="U701" s="7"/>
      <c r="W701" s="7"/>
    </row>
    <row r="702">
      <c r="E702" s="62"/>
      <c r="F702" s="7"/>
      <c r="G702" s="7"/>
      <c r="I702" s="7"/>
      <c r="K702" s="62"/>
      <c r="L702" s="7"/>
      <c r="M702" s="7"/>
      <c r="O702" s="7"/>
      <c r="Q702" s="7"/>
      <c r="S702" s="7"/>
      <c r="U702" s="7"/>
      <c r="W702" s="7"/>
    </row>
    <row r="703">
      <c r="E703" s="62"/>
      <c r="F703" s="7"/>
      <c r="G703" s="7"/>
      <c r="I703" s="7"/>
      <c r="K703" s="62"/>
      <c r="L703" s="7"/>
      <c r="M703" s="7"/>
      <c r="O703" s="7"/>
      <c r="Q703" s="7"/>
      <c r="S703" s="7"/>
      <c r="U703" s="7"/>
      <c r="W703" s="7"/>
    </row>
    <row r="704">
      <c r="E704" s="62"/>
      <c r="F704" s="7"/>
      <c r="G704" s="7"/>
      <c r="I704" s="7"/>
      <c r="K704" s="62"/>
      <c r="L704" s="7"/>
      <c r="M704" s="7"/>
      <c r="O704" s="7"/>
      <c r="Q704" s="7"/>
      <c r="S704" s="7"/>
      <c r="U704" s="7"/>
      <c r="W704" s="7"/>
    </row>
    <row r="705">
      <c r="E705" s="62"/>
      <c r="F705" s="7"/>
      <c r="G705" s="7"/>
      <c r="I705" s="7"/>
      <c r="K705" s="62"/>
      <c r="L705" s="7"/>
      <c r="M705" s="7"/>
      <c r="O705" s="7"/>
      <c r="Q705" s="7"/>
      <c r="S705" s="7"/>
      <c r="U705" s="7"/>
      <c r="W705" s="7"/>
    </row>
    <row r="706">
      <c r="E706" s="62"/>
      <c r="F706" s="7"/>
      <c r="G706" s="7"/>
      <c r="I706" s="7"/>
      <c r="K706" s="62"/>
      <c r="L706" s="7"/>
      <c r="M706" s="7"/>
      <c r="O706" s="7"/>
      <c r="Q706" s="7"/>
      <c r="S706" s="7"/>
      <c r="U706" s="7"/>
      <c r="W706" s="7"/>
    </row>
    <row r="707">
      <c r="E707" s="62"/>
      <c r="F707" s="7"/>
      <c r="G707" s="7"/>
      <c r="I707" s="7"/>
      <c r="K707" s="62"/>
      <c r="L707" s="7"/>
      <c r="M707" s="7"/>
      <c r="O707" s="7"/>
      <c r="Q707" s="7"/>
      <c r="S707" s="7"/>
      <c r="U707" s="7"/>
      <c r="W707" s="7"/>
    </row>
    <row r="708">
      <c r="E708" s="62"/>
      <c r="F708" s="7"/>
      <c r="G708" s="7"/>
      <c r="I708" s="7"/>
      <c r="K708" s="62"/>
      <c r="L708" s="7"/>
      <c r="M708" s="7"/>
      <c r="O708" s="7"/>
      <c r="Q708" s="7"/>
      <c r="S708" s="7"/>
      <c r="U708" s="7"/>
      <c r="W708" s="7"/>
    </row>
    <row r="709">
      <c r="E709" s="62"/>
      <c r="F709" s="7"/>
      <c r="G709" s="7"/>
      <c r="I709" s="7"/>
      <c r="K709" s="62"/>
      <c r="L709" s="7"/>
      <c r="M709" s="7"/>
      <c r="O709" s="7"/>
      <c r="Q709" s="7"/>
      <c r="S709" s="7"/>
      <c r="U709" s="7"/>
      <c r="W709" s="7"/>
    </row>
    <row r="710">
      <c r="E710" s="62"/>
      <c r="F710" s="7"/>
      <c r="G710" s="7"/>
      <c r="I710" s="7"/>
      <c r="K710" s="62"/>
      <c r="L710" s="7"/>
      <c r="M710" s="7"/>
      <c r="O710" s="7"/>
      <c r="Q710" s="7"/>
      <c r="S710" s="7"/>
      <c r="U710" s="7"/>
      <c r="W710" s="7"/>
    </row>
    <row r="711">
      <c r="E711" s="62"/>
      <c r="F711" s="7"/>
      <c r="G711" s="7"/>
      <c r="I711" s="7"/>
      <c r="K711" s="62"/>
      <c r="L711" s="7"/>
      <c r="M711" s="7"/>
      <c r="O711" s="7"/>
      <c r="Q711" s="7"/>
      <c r="S711" s="7"/>
      <c r="U711" s="7"/>
      <c r="W711" s="7"/>
    </row>
    <row r="712">
      <c r="E712" s="62"/>
      <c r="F712" s="7"/>
      <c r="G712" s="7"/>
      <c r="I712" s="7"/>
      <c r="K712" s="62"/>
      <c r="L712" s="7"/>
      <c r="M712" s="7"/>
      <c r="O712" s="7"/>
      <c r="Q712" s="7"/>
      <c r="S712" s="7"/>
      <c r="U712" s="7"/>
      <c r="W712" s="7"/>
    </row>
    <row r="713">
      <c r="E713" s="62"/>
      <c r="F713" s="7"/>
      <c r="G713" s="7"/>
      <c r="I713" s="7"/>
      <c r="K713" s="62"/>
      <c r="L713" s="7"/>
      <c r="M713" s="7"/>
      <c r="O713" s="7"/>
      <c r="Q713" s="7"/>
      <c r="S713" s="7"/>
      <c r="U713" s="7"/>
      <c r="W713" s="7"/>
    </row>
    <row r="714">
      <c r="E714" s="62"/>
      <c r="F714" s="7"/>
      <c r="G714" s="7"/>
      <c r="I714" s="7"/>
      <c r="K714" s="62"/>
      <c r="L714" s="7"/>
      <c r="M714" s="7"/>
      <c r="O714" s="7"/>
      <c r="Q714" s="7"/>
      <c r="S714" s="7"/>
      <c r="U714" s="7"/>
      <c r="W714" s="7"/>
    </row>
    <row r="715">
      <c r="E715" s="62"/>
      <c r="F715" s="7"/>
      <c r="G715" s="7"/>
      <c r="I715" s="7"/>
      <c r="K715" s="62"/>
      <c r="L715" s="7"/>
      <c r="M715" s="7"/>
      <c r="O715" s="7"/>
      <c r="Q715" s="7"/>
      <c r="S715" s="7"/>
      <c r="U715" s="7"/>
      <c r="W715" s="7"/>
    </row>
    <row r="716">
      <c r="E716" s="62"/>
      <c r="F716" s="7"/>
      <c r="G716" s="7"/>
      <c r="I716" s="7"/>
      <c r="K716" s="62"/>
      <c r="L716" s="7"/>
      <c r="M716" s="7"/>
      <c r="O716" s="7"/>
      <c r="Q716" s="7"/>
      <c r="S716" s="7"/>
      <c r="U716" s="7"/>
      <c r="W716" s="7"/>
    </row>
    <row r="717">
      <c r="E717" s="62"/>
      <c r="F717" s="7"/>
      <c r="G717" s="7"/>
      <c r="I717" s="7"/>
      <c r="K717" s="62"/>
      <c r="L717" s="7"/>
      <c r="M717" s="7"/>
      <c r="O717" s="7"/>
      <c r="Q717" s="7"/>
      <c r="S717" s="7"/>
      <c r="U717" s="7"/>
      <c r="W717" s="7"/>
    </row>
    <row r="718">
      <c r="E718" s="62"/>
      <c r="F718" s="7"/>
      <c r="G718" s="7"/>
      <c r="I718" s="7"/>
      <c r="K718" s="62"/>
      <c r="L718" s="7"/>
      <c r="M718" s="7"/>
      <c r="O718" s="7"/>
      <c r="Q718" s="7"/>
      <c r="S718" s="7"/>
      <c r="U718" s="7"/>
      <c r="W718" s="7"/>
    </row>
    <row r="719">
      <c r="E719" s="62"/>
      <c r="F719" s="7"/>
      <c r="G719" s="7"/>
      <c r="I719" s="7"/>
      <c r="K719" s="62"/>
      <c r="L719" s="7"/>
      <c r="M719" s="7"/>
      <c r="O719" s="7"/>
      <c r="Q719" s="7"/>
      <c r="S719" s="7"/>
      <c r="U719" s="7"/>
      <c r="W719" s="7"/>
    </row>
    <row r="720">
      <c r="E720" s="62"/>
      <c r="F720" s="7"/>
      <c r="G720" s="7"/>
      <c r="I720" s="7"/>
      <c r="K720" s="62"/>
      <c r="L720" s="7"/>
      <c r="M720" s="7"/>
      <c r="O720" s="7"/>
      <c r="Q720" s="7"/>
      <c r="S720" s="7"/>
      <c r="U720" s="7"/>
      <c r="W720" s="7"/>
    </row>
    <row r="721">
      <c r="E721" s="62"/>
      <c r="F721" s="7"/>
      <c r="G721" s="7"/>
      <c r="I721" s="7"/>
      <c r="K721" s="62"/>
      <c r="L721" s="7"/>
      <c r="M721" s="7"/>
      <c r="O721" s="7"/>
      <c r="Q721" s="7"/>
      <c r="S721" s="7"/>
      <c r="U721" s="7"/>
      <c r="W721" s="7"/>
    </row>
    <row r="722">
      <c r="E722" s="62"/>
      <c r="F722" s="7"/>
      <c r="G722" s="7"/>
      <c r="I722" s="7"/>
      <c r="K722" s="62"/>
      <c r="L722" s="7"/>
      <c r="M722" s="7"/>
      <c r="O722" s="7"/>
      <c r="Q722" s="7"/>
      <c r="S722" s="7"/>
      <c r="U722" s="7"/>
      <c r="W722" s="7"/>
    </row>
    <row r="723">
      <c r="E723" s="62"/>
      <c r="F723" s="7"/>
      <c r="G723" s="7"/>
      <c r="I723" s="7"/>
      <c r="K723" s="62"/>
      <c r="L723" s="7"/>
      <c r="M723" s="7"/>
      <c r="O723" s="7"/>
      <c r="Q723" s="7"/>
      <c r="S723" s="7"/>
      <c r="U723" s="7"/>
      <c r="W723" s="7"/>
    </row>
    <row r="724">
      <c r="E724" s="62"/>
      <c r="F724" s="7"/>
      <c r="G724" s="7"/>
      <c r="I724" s="7"/>
      <c r="K724" s="62"/>
      <c r="L724" s="7"/>
      <c r="M724" s="7"/>
      <c r="O724" s="7"/>
      <c r="Q724" s="7"/>
      <c r="S724" s="7"/>
      <c r="U724" s="7"/>
      <c r="W724" s="7"/>
    </row>
    <row r="725">
      <c r="E725" s="62"/>
      <c r="F725" s="7"/>
      <c r="G725" s="7"/>
      <c r="I725" s="7"/>
      <c r="K725" s="62"/>
      <c r="L725" s="7"/>
      <c r="M725" s="7"/>
      <c r="O725" s="7"/>
      <c r="Q725" s="7"/>
      <c r="S725" s="7"/>
      <c r="U725" s="7"/>
      <c r="W725" s="7"/>
    </row>
    <row r="726">
      <c r="E726" s="62"/>
      <c r="F726" s="7"/>
      <c r="G726" s="7"/>
      <c r="I726" s="7"/>
      <c r="K726" s="62"/>
      <c r="L726" s="7"/>
      <c r="M726" s="7"/>
      <c r="O726" s="7"/>
      <c r="Q726" s="7"/>
      <c r="S726" s="7"/>
      <c r="U726" s="7"/>
      <c r="W726" s="7"/>
    </row>
    <row r="727">
      <c r="E727" s="62"/>
      <c r="F727" s="7"/>
      <c r="G727" s="7"/>
      <c r="I727" s="7"/>
      <c r="K727" s="62"/>
      <c r="L727" s="7"/>
      <c r="M727" s="7"/>
      <c r="O727" s="7"/>
      <c r="Q727" s="7"/>
      <c r="S727" s="7"/>
      <c r="U727" s="7"/>
      <c r="W727" s="7"/>
    </row>
    <row r="728">
      <c r="E728" s="62"/>
      <c r="F728" s="7"/>
      <c r="G728" s="7"/>
      <c r="I728" s="7"/>
      <c r="K728" s="62"/>
      <c r="L728" s="7"/>
      <c r="M728" s="7"/>
      <c r="O728" s="7"/>
      <c r="Q728" s="7"/>
      <c r="S728" s="7"/>
      <c r="U728" s="7"/>
      <c r="W728" s="7"/>
    </row>
    <row r="729">
      <c r="E729" s="62"/>
      <c r="F729" s="7"/>
      <c r="G729" s="7"/>
      <c r="I729" s="7"/>
      <c r="K729" s="62"/>
      <c r="L729" s="7"/>
      <c r="M729" s="7"/>
      <c r="O729" s="7"/>
      <c r="Q729" s="7"/>
      <c r="S729" s="7"/>
      <c r="U729" s="7"/>
      <c r="W729" s="7"/>
    </row>
    <row r="730">
      <c r="E730" s="62"/>
      <c r="F730" s="7"/>
      <c r="G730" s="7"/>
      <c r="I730" s="7"/>
      <c r="K730" s="62"/>
      <c r="L730" s="7"/>
      <c r="M730" s="7"/>
      <c r="O730" s="7"/>
      <c r="Q730" s="7"/>
      <c r="S730" s="7"/>
      <c r="U730" s="7"/>
      <c r="W730" s="7"/>
    </row>
    <row r="731">
      <c r="E731" s="62"/>
      <c r="F731" s="7"/>
      <c r="G731" s="7"/>
      <c r="I731" s="7"/>
      <c r="K731" s="62"/>
      <c r="L731" s="7"/>
      <c r="M731" s="7"/>
      <c r="O731" s="7"/>
      <c r="Q731" s="7"/>
      <c r="S731" s="7"/>
      <c r="U731" s="7"/>
      <c r="W731" s="7"/>
    </row>
    <row r="732">
      <c r="E732" s="62"/>
      <c r="F732" s="7"/>
      <c r="G732" s="7"/>
      <c r="I732" s="7"/>
      <c r="K732" s="62"/>
      <c r="L732" s="7"/>
      <c r="M732" s="7"/>
      <c r="O732" s="7"/>
      <c r="Q732" s="7"/>
      <c r="S732" s="7"/>
      <c r="U732" s="7"/>
      <c r="W732" s="7"/>
    </row>
    <row r="733">
      <c r="E733" s="62"/>
      <c r="F733" s="7"/>
      <c r="G733" s="7"/>
      <c r="I733" s="7"/>
      <c r="K733" s="62"/>
      <c r="L733" s="7"/>
      <c r="M733" s="7"/>
      <c r="O733" s="7"/>
      <c r="Q733" s="7"/>
      <c r="S733" s="7"/>
      <c r="U733" s="7"/>
      <c r="W733" s="7"/>
    </row>
    <row r="734">
      <c r="E734" s="62"/>
      <c r="F734" s="7"/>
      <c r="G734" s="7"/>
      <c r="I734" s="7"/>
      <c r="K734" s="62"/>
      <c r="L734" s="7"/>
      <c r="M734" s="7"/>
      <c r="O734" s="7"/>
      <c r="Q734" s="7"/>
      <c r="S734" s="7"/>
      <c r="U734" s="7"/>
      <c r="W734" s="7"/>
    </row>
    <row r="735">
      <c r="E735" s="62"/>
      <c r="F735" s="7"/>
      <c r="G735" s="7"/>
      <c r="I735" s="7"/>
      <c r="K735" s="62"/>
      <c r="L735" s="7"/>
      <c r="M735" s="7"/>
      <c r="O735" s="7"/>
      <c r="Q735" s="7"/>
      <c r="S735" s="7"/>
      <c r="U735" s="7"/>
      <c r="W735" s="7"/>
    </row>
    <row r="736">
      <c r="E736" s="62"/>
      <c r="F736" s="7"/>
      <c r="G736" s="7"/>
      <c r="I736" s="7"/>
      <c r="K736" s="62"/>
      <c r="L736" s="7"/>
      <c r="M736" s="7"/>
      <c r="O736" s="7"/>
      <c r="Q736" s="7"/>
      <c r="S736" s="7"/>
      <c r="U736" s="7"/>
      <c r="W736" s="7"/>
    </row>
    <row r="737">
      <c r="E737" s="62"/>
      <c r="F737" s="7"/>
      <c r="G737" s="7"/>
      <c r="I737" s="7"/>
      <c r="K737" s="62"/>
      <c r="L737" s="7"/>
      <c r="M737" s="7"/>
      <c r="O737" s="7"/>
      <c r="Q737" s="7"/>
      <c r="S737" s="7"/>
      <c r="U737" s="7"/>
      <c r="W737" s="7"/>
    </row>
    <row r="738">
      <c r="E738" s="62"/>
      <c r="F738" s="7"/>
      <c r="G738" s="7"/>
      <c r="I738" s="7"/>
      <c r="K738" s="62"/>
      <c r="L738" s="7"/>
      <c r="M738" s="7"/>
      <c r="O738" s="7"/>
      <c r="Q738" s="7"/>
      <c r="S738" s="7"/>
      <c r="U738" s="7"/>
      <c r="W738" s="7"/>
    </row>
    <row r="739">
      <c r="E739" s="62"/>
      <c r="F739" s="7"/>
      <c r="G739" s="7"/>
      <c r="I739" s="7"/>
      <c r="K739" s="62"/>
      <c r="L739" s="7"/>
      <c r="M739" s="7"/>
      <c r="O739" s="7"/>
      <c r="Q739" s="7"/>
      <c r="S739" s="7"/>
      <c r="U739" s="7"/>
      <c r="W739" s="7"/>
    </row>
    <row r="740">
      <c r="E740" s="62"/>
      <c r="F740" s="7"/>
      <c r="G740" s="7"/>
      <c r="I740" s="7"/>
      <c r="K740" s="62"/>
      <c r="L740" s="7"/>
      <c r="M740" s="7"/>
      <c r="O740" s="7"/>
      <c r="Q740" s="7"/>
      <c r="S740" s="7"/>
      <c r="U740" s="7"/>
      <c r="W740" s="7"/>
    </row>
    <row r="741">
      <c r="E741" s="62"/>
      <c r="F741" s="7"/>
      <c r="G741" s="7"/>
      <c r="I741" s="7"/>
      <c r="K741" s="62"/>
      <c r="L741" s="7"/>
      <c r="M741" s="7"/>
      <c r="O741" s="7"/>
      <c r="Q741" s="7"/>
      <c r="S741" s="7"/>
      <c r="U741" s="7"/>
      <c r="W741" s="7"/>
    </row>
    <row r="742">
      <c r="E742" s="62"/>
      <c r="F742" s="7"/>
      <c r="G742" s="7"/>
      <c r="I742" s="7"/>
      <c r="K742" s="62"/>
      <c r="L742" s="7"/>
      <c r="M742" s="7"/>
      <c r="O742" s="7"/>
      <c r="Q742" s="7"/>
      <c r="S742" s="7"/>
      <c r="U742" s="7"/>
      <c r="W742" s="7"/>
    </row>
    <row r="743">
      <c r="E743" s="62"/>
      <c r="F743" s="7"/>
      <c r="G743" s="7"/>
      <c r="I743" s="7"/>
      <c r="K743" s="62"/>
      <c r="L743" s="7"/>
      <c r="M743" s="7"/>
      <c r="O743" s="7"/>
      <c r="Q743" s="7"/>
      <c r="S743" s="7"/>
      <c r="U743" s="7"/>
      <c r="W743" s="7"/>
    </row>
    <row r="744">
      <c r="E744" s="62"/>
      <c r="F744" s="7"/>
      <c r="G744" s="7"/>
      <c r="I744" s="7"/>
      <c r="K744" s="62"/>
      <c r="L744" s="7"/>
      <c r="M744" s="7"/>
      <c r="O744" s="7"/>
      <c r="Q744" s="7"/>
      <c r="S744" s="7"/>
      <c r="U744" s="7"/>
      <c r="W744" s="7"/>
    </row>
    <row r="745">
      <c r="E745" s="62"/>
      <c r="F745" s="7"/>
      <c r="G745" s="7"/>
      <c r="I745" s="7"/>
      <c r="K745" s="62"/>
      <c r="L745" s="7"/>
      <c r="M745" s="7"/>
      <c r="O745" s="7"/>
      <c r="Q745" s="7"/>
      <c r="S745" s="7"/>
      <c r="U745" s="7"/>
      <c r="W745" s="7"/>
    </row>
    <row r="746">
      <c r="E746" s="62"/>
      <c r="F746" s="7"/>
      <c r="G746" s="7"/>
      <c r="I746" s="7"/>
      <c r="K746" s="62"/>
      <c r="L746" s="7"/>
      <c r="M746" s="7"/>
      <c r="O746" s="7"/>
      <c r="Q746" s="7"/>
      <c r="S746" s="7"/>
      <c r="U746" s="7"/>
      <c r="W746" s="7"/>
    </row>
    <row r="747">
      <c r="E747" s="62"/>
      <c r="F747" s="7"/>
      <c r="G747" s="7"/>
      <c r="I747" s="7"/>
      <c r="K747" s="62"/>
      <c r="L747" s="7"/>
      <c r="M747" s="7"/>
      <c r="O747" s="7"/>
      <c r="Q747" s="7"/>
      <c r="S747" s="7"/>
      <c r="U747" s="7"/>
      <c r="W747" s="7"/>
    </row>
    <row r="748">
      <c r="E748" s="62"/>
      <c r="F748" s="7"/>
      <c r="G748" s="7"/>
      <c r="I748" s="7"/>
      <c r="K748" s="62"/>
      <c r="L748" s="7"/>
      <c r="M748" s="7"/>
      <c r="O748" s="7"/>
      <c r="Q748" s="7"/>
      <c r="S748" s="7"/>
      <c r="U748" s="7"/>
      <c r="W748" s="7"/>
    </row>
    <row r="749">
      <c r="E749" s="62"/>
      <c r="F749" s="7"/>
      <c r="G749" s="7"/>
      <c r="I749" s="7"/>
      <c r="K749" s="62"/>
      <c r="L749" s="7"/>
      <c r="M749" s="7"/>
      <c r="O749" s="7"/>
      <c r="Q749" s="7"/>
      <c r="S749" s="7"/>
      <c r="U749" s="7"/>
      <c r="W749" s="7"/>
    </row>
    <row r="750">
      <c r="E750" s="62"/>
      <c r="F750" s="7"/>
      <c r="G750" s="7"/>
      <c r="I750" s="7"/>
      <c r="K750" s="62"/>
      <c r="L750" s="7"/>
      <c r="M750" s="7"/>
      <c r="O750" s="7"/>
      <c r="Q750" s="7"/>
      <c r="S750" s="7"/>
      <c r="U750" s="7"/>
      <c r="W750" s="7"/>
    </row>
    <row r="751">
      <c r="E751" s="62"/>
      <c r="F751" s="7"/>
      <c r="G751" s="7"/>
      <c r="I751" s="7"/>
      <c r="K751" s="62"/>
      <c r="L751" s="7"/>
      <c r="M751" s="7"/>
      <c r="O751" s="7"/>
      <c r="Q751" s="7"/>
      <c r="S751" s="7"/>
      <c r="U751" s="7"/>
      <c r="W751" s="7"/>
    </row>
    <row r="752">
      <c r="E752" s="62"/>
      <c r="F752" s="7"/>
      <c r="G752" s="7"/>
      <c r="I752" s="7"/>
      <c r="K752" s="62"/>
      <c r="L752" s="7"/>
      <c r="M752" s="7"/>
      <c r="O752" s="7"/>
      <c r="Q752" s="7"/>
      <c r="S752" s="7"/>
      <c r="U752" s="7"/>
      <c r="W752" s="7"/>
    </row>
    <row r="753">
      <c r="E753" s="62"/>
      <c r="F753" s="7"/>
      <c r="G753" s="7"/>
      <c r="I753" s="7"/>
      <c r="K753" s="62"/>
      <c r="L753" s="7"/>
      <c r="M753" s="7"/>
      <c r="O753" s="7"/>
      <c r="Q753" s="7"/>
      <c r="S753" s="7"/>
      <c r="U753" s="7"/>
      <c r="W753" s="7"/>
    </row>
    <row r="754">
      <c r="E754" s="62"/>
      <c r="F754" s="7"/>
      <c r="G754" s="7"/>
      <c r="I754" s="7"/>
      <c r="K754" s="62"/>
      <c r="L754" s="7"/>
      <c r="M754" s="7"/>
      <c r="O754" s="7"/>
      <c r="Q754" s="7"/>
      <c r="S754" s="7"/>
      <c r="U754" s="7"/>
      <c r="W754" s="7"/>
    </row>
    <row r="755">
      <c r="E755" s="62"/>
      <c r="F755" s="7"/>
      <c r="G755" s="7"/>
      <c r="I755" s="7"/>
      <c r="K755" s="62"/>
      <c r="L755" s="7"/>
      <c r="M755" s="7"/>
      <c r="O755" s="7"/>
      <c r="Q755" s="7"/>
      <c r="S755" s="7"/>
      <c r="U755" s="7"/>
      <c r="W755" s="7"/>
    </row>
    <row r="756">
      <c r="E756" s="62"/>
      <c r="F756" s="7"/>
      <c r="G756" s="7"/>
      <c r="I756" s="7"/>
      <c r="K756" s="62"/>
      <c r="L756" s="7"/>
      <c r="M756" s="7"/>
      <c r="O756" s="7"/>
      <c r="Q756" s="7"/>
      <c r="S756" s="7"/>
      <c r="U756" s="7"/>
      <c r="W756" s="7"/>
    </row>
    <row r="757">
      <c r="E757" s="62"/>
      <c r="F757" s="7"/>
      <c r="G757" s="7"/>
      <c r="I757" s="7"/>
      <c r="K757" s="62"/>
      <c r="L757" s="7"/>
      <c r="M757" s="7"/>
      <c r="O757" s="7"/>
      <c r="Q757" s="7"/>
      <c r="S757" s="7"/>
      <c r="U757" s="7"/>
      <c r="W757" s="7"/>
    </row>
    <row r="758">
      <c r="E758" s="62"/>
      <c r="F758" s="7"/>
      <c r="G758" s="7"/>
      <c r="I758" s="7"/>
      <c r="K758" s="62"/>
      <c r="L758" s="7"/>
      <c r="M758" s="7"/>
      <c r="O758" s="7"/>
      <c r="Q758" s="7"/>
      <c r="S758" s="7"/>
      <c r="U758" s="7"/>
      <c r="W758" s="7"/>
    </row>
    <row r="759">
      <c r="E759" s="62"/>
      <c r="F759" s="7"/>
      <c r="G759" s="7"/>
      <c r="I759" s="7"/>
      <c r="K759" s="62"/>
      <c r="L759" s="7"/>
      <c r="M759" s="7"/>
      <c r="O759" s="7"/>
      <c r="Q759" s="7"/>
      <c r="S759" s="7"/>
      <c r="U759" s="7"/>
      <c r="W759" s="7"/>
    </row>
    <row r="760">
      <c r="E760" s="62"/>
      <c r="F760" s="7"/>
      <c r="G760" s="7"/>
      <c r="I760" s="7"/>
      <c r="K760" s="62"/>
      <c r="L760" s="7"/>
      <c r="M760" s="7"/>
      <c r="O760" s="7"/>
      <c r="Q760" s="7"/>
      <c r="S760" s="7"/>
      <c r="U760" s="7"/>
      <c r="W760" s="7"/>
    </row>
    <row r="761">
      <c r="E761" s="62"/>
      <c r="F761" s="7"/>
      <c r="G761" s="7"/>
      <c r="I761" s="7"/>
      <c r="K761" s="62"/>
      <c r="L761" s="7"/>
      <c r="M761" s="7"/>
      <c r="O761" s="7"/>
      <c r="Q761" s="7"/>
      <c r="S761" s="7"/>
      <c r="U761" s="7"/>
      <c r="W761" s="7"/>
    </row>
    <row r="762">
      <c r="E762" s="62"/>
      <c r="F762" s="7"/>
      <c r="G762" s="7"/>
      <c r="I762" s="7"/>
      <c r="K762" s="62"/>
      <c r="L762" s="7"/>
      <c r="M762" s="7"/>
      <c r="O762" s="7"/>
      <c r="Q762" s="7"/>
      <c r="S762" s="7"/>
      <c r="U762" s="7"/>
      <c r="W762" s="7"/>
    </row>
    <row r="763">
      <c r="E763" s="62"/>
      <c r="F763" s="7"/>
      <c r="G763" s="7"/>
      <c r="I763" s="7"/>
      <c r="K763" s="62"/>
      <c r="L763" s="7"/>
      <c r="M763" s="7"/>
      <c r="O763" s="7"/>
      <c r="Q763" s="7"/>
      <c r="S763" s="7"/>
      <c r="U763" s="7"/>
      <c r="W763" s="7"/>
    </row>
    <row r="764">
      <c r="E764" s="62"/>
      <c r="F764" s="7"/>
      <c r="G764" s="7"/>
      <c r="I764" s="7"/>
      <c r="K764" s="62"/>
      <c r="L764" s="7"/>
      <c r="M764" s="7"/>
      <c r="O764" s="7"/>
      <c r="Q764" s="7"/>
      <c r="S764" s="7"/>
      <c r="U764" s="7"/>
      <c r="W764" s="7"/>
    </row>
    <row r="765">
      <c r="E765" s="62"/>
      <c r="F765" s="7"/>
      <c r="G765" s="7"/>
      <c r="I765" s="7"/>
      <c r="K765" s="62"/>
      <c r="L765" s="7"/>
      <c r="M765" s="7"/>
      <c r="O765" s="7"/>
      <c r="Q765" s="7"/>
      <c r="S765" s="7"/>
      <c r="U765" s="7"/>
      <c r="W765" s="7"/>
    </row>
    <row r="766">
      <c r="E766" s="62"/>
      <c r="F766" s="7"/>
      <c r="G766" s="7"/>
      <c r="I766" s="7"/>
      <c r="K766" s="62"/>
      <c r="L766" s="7"/>
      <c r="M766" s="7"/>
      <c r="O766" s="7"/>
      <c r="Q766" s="7"/>
      <c r="S766" s="7"/>
      <c r="U766" s="7"/>
      <c r="W766" s="7"/>
    </row>
    <row r="767">
      <c r="E767" s="62"/>
      <c r="F767" s="7"/>
      <c r="G767" s="7"/>
      <c r="I767" s="7"/>
      <c r="K767" s="62"/>
      <c r="L767" s="7"/>
      <c r="M767" s="7"/>
      <c r="O767" s="7"/>
      <c r="Q767" s="7"/>
      <c r="S767" s="7"/>
      <c r="U767" s="7"/>
      <c r="W767" s="7"/>
    </row>
    <row r="768">
      <c r="E768" s="62"/>
      <c r="F768" s="7"/>
      <c r="G768" s="7"/>
      <c r="I768" s="7"/>
      <c r="K768" s="62"/>
      <c r="L768" s="7"/>
      <c r="M768" s="7"/>
      <c r="O768" s="7"/>
      <c r="Q768" s="7"/>
      <c r="S768" s="7"/>
      <c r="U768" s="7"/>
      <c r="W768" s="7"/>
    </row>
    <row r="769">
      <c r="E769" s="62"/>
      <c r="F769" s="7"/>
      <c r="G769" s="7"/>
      <c r="I769" s="7"/>
      <c r="K769" s="62"/>
      <c r="L769" s="7"/>
      <c r="M769" s="7"/>
      <c r="O769" s="7"/>
      <c r="Q769" s="7"/>
      <c r="S769" s="7"/>
      <c r="U769" s="7"/>
      <c r="W769" s="7"/>
    </row>
    <row r="770">
      <c r="E770" s="62"/>
      <c r="F770" s="7"/>
      <c r="G770" s="7"/>
      <c r="I770" s="7"/>
      <c r="K770" s="62"/>
      <c r="L770" s="7"/>
      <c r="M770" s="7"/>
      <c r="O770" s="7"/>
      <c r="Q770" s="7"/>
      <c r="S770" s="7"/>
      <c r="U770" s="7"/>
      <c r="W770" s="7"/>
    </row>
    <row r="771">
      <c r="E771" s="62"/>
      <c r="F771" s="7"/>
      <c r="G771" s="7"/>
      <c r="I771" s="7"/>
      <c r="K771" s="62"/>
      <c r="L771" s="7"/>
      <c r="M771" s="7"/>
      <c r="O771" s="7"/>
      <c r="Q771" s="7"/>
      <c r="S771" s="7"/>
      <c r="U771" s="7"/>
      <c r="W771" s="7"/>
    </row>
    <row r="772">
      <c r="E772" s="62"/>
      <c r="F772" s="7"/>
      <c r="G772" s="7"/>
      <c r="I772" s="7"/>
      <c r="K772" s="62"/>
      <c r="L772" s="7"/>
      <c r="M772" s="7"/>
      <c r="O772" s="7"/>
      <c r="Q772" s="7"/>
      <c r="S772" s="7"/>
      <c r="U772" s="7"/>
      <c r="W772" s="7"/>
    </row>
    <row r="773">
      <c r="E773" s="62"/>
      <c r="F773" s="7"/>
      <c r="G773" s="7"/>
      <c r="I773" s="7"/>
      <c r="K773" s="62"/>
      <c r="L773" s="7"/>
      <c r="M773" s="7"/>
      <c r="O773" s="7"/>
      <c r="Q773" s="7"/>
      <c r="S773" s="7"/>
      <c r="U773" s="7"/>
      <c r="W773" s="7"/>
    </row>
    <row r="774">
      <c r="E774" s="62"/>
      <c r="F774" s="7"/>
      <c r="G774" s="7"/>
      <c r="I774" s="7"/>
      <c r="K774" s="62"/>
      <c r="L774" s="7"/>
      <c r="M774" s="7"/>
      <c r="O774" s="7"/>
      <c r="Q774" s="7"/>
      <c r="S774" s="7"/>
      <c r="U774" s="7"/>
      <c r="W774" s="7"/>
    </row>
    <row r="775">
      <c r="E775" s="62"/>
      <c r="F775" s="7"/>
      <c r="G775" s="7"/>
      <c r="I775" s="7"/>
      <c r="K775" s="62"/>
      <c r="L775" s="7"/>
      <c r="M775" s="7"/>
      <c r="O775" s="7"/>
      <c r="Q775" s="7"/>
      <c r="S775" s="7"/>
      <c r="U775" s="7"/>
      <c r="W775" s="7"/>
    </row>
    <row r="776">
      <c r="E776" s="62"/>
      <c r="F776" s="7"/>
      <c r="G776" s="7"/>
      <c r="I776" s="7"/>
      <c r="K776" s="62"/>
      <c r="L776" s="7"/>
      <c r="M776" s="7"/>
      <c r="O776" s="7"/>
      <c r="Q776" s="7"/>
      <c r="S776" s="7"/>
      <c r="U776" s="7"/>
      <c r="W776" s="7"/>
    </row>
    <row r="777">
      <c r="E777" s="62"/>
      <c r="F777" s="7"/>
      <c r="G777" s="7"/>
      <c r="I777" s="7"/>
      <c r="K777" s="62"/>
      <c r="L777" s="7"/>
      <c r="M777" s="7"/>
      <c r="O777" s="7"/>
      <c r="Q777" s="7"/>
      <c r="S777" s="7"/>
      <c r="U777" s="7"/>
      <c r="W777" s="7"/>
    </row>
    <row r="778">
      <c r="E778" s="62"/>
      <c r="F778" s="7"/>
      <c r="G778" s="7"/>
      <c r="I778" s="7"/>
      <c r="K778" s="62"/>
      <c r="L778" s="7"/>
      <c r="M778" s="7"/>
      <c r="O778" s="7"/>
      <c r="Q778" s="7"/>
      <c r="S778" s="7"/>
      <c r="U778" s="7"/>
      <c r="W778" s="7"/>
    </row>
    <row r="779">
      <c r="E779" s="62"/>
      <c r="F779" s="7"/>
      <c r="G779" s="7"/>
      <c r="I779" s="7"/>
      <c r="K779" s="62"/>
      <c r="L779" s="7"/>
      <c r="M779" s="7"/>
      <c r="O779" s="7"/>
      <c r="Q779" s="7"/>
      <c r="S779" s="7"/>
      <c r="U779" s="7"/>
      <c r="W779" s="7"/>
    </row>
    <row r="780">
      <c r="E780" s="62"/>
      <c r="F780" s="7"/>
      <c r="G780" s="7"/>
      <c r="I780" s="7"/>
      <c r="K780" s="62"/>
      <c r="L780" s="7"/>
      <c r="M780" s="7"/>
      <c r="O780" s="7"/>
      <c r="Q780" s="7"/>
      <c r="S780" s="7"/>
      <c r="U780" s="7"/>
      <c r="W780" s="7"/>
    </row>
    <row r="781">
      <c r="E781" s="62"/>
      <c r="F781" s="7"/>
      <c r="G781" s="7"/>
      <c r="I781" s="7"/>
      <c r="K781" s="62"/>
      <c r="L781" s="7"/>
      <c r="M781" s="7"/>
      <c r="O781" s="7"/>
      <c r="Q781" s="7"/>
      <c r="S781" s="7"/>
      <c r="U781" s="7"/>
      <c r="W781" s="7"/>
    </row>
    <row r="782">
      <c r="E782" s="62"/>
      <c r="F782" s="7"/>
      <c r="G782" s="7"/>
      <c r="I782" s="7"/>
      <c r="K782" s="62"/>
      <c r="L782" s="7"/>
      <c r="M782" s="7"/>
      <c r="O782" s="7"/>
      <c r="Q782" s="7"/>
      <c r="S782" s="7"/>
      <c r="U782" s="7"/>
      <c r="W782" s="7"/>
    </row>
    <row r="783">
      <c r="E783" s="62"/>
      <c r="F783" s="7"/>
      <c r="G783" s="7"/>
      <c r="I783" s="7"/>
      <c r="K783" s="62"/>
      <c r="L783" s="7"/>
      <c r="M783" s="7"/>
      <c r="O783" s="7"/>
      <c r="Q783" s="7"/>
      <c r="S783" s="7"/>
      <c r="U783" s="7"/>
      <c r="W783" s="7"/>
    </row>
    <row r="784">
      <c r="E784" s="62"/>
      <c r="F784" s="7"/>
      <c r="G784" s="7"/>
      <c r="I784" s="7"/>
      <c r="K784" s="62"/>
      <c r="L784" s="7"/>
      <c r="M784" s="7"/>
      <c r="O784" s="7"/>
      <c r="Q784" s="7"/>
      <c r="S784" s="7"/>
      <c r="U784" s="7"/>
      <c r="W784" s="7"/>
    </row>
    <row r="785">
      <c r="E785" s="62"/>
      <c r="F785" s="7"/>
      <c r="G785" s="7"/>
      <c r="I785" s="7"/>
      <c r="K785" s="62"/>
      <c r="L785" s="7"/>
      <c r="M785" s="7"/>
      <c r="O785" s="7"/>
      <c r="Q785" s="7"/>
      <c r="S785" s="7"/>
      <c r="U785" s="7"/>
      <c r="W785" s="7"/>
    </row>
    <row r="786">
      <c r="E786" s="62"/>
      <c r="F786" s="7"/>
      <c r="G786" s="7"/>
      <c r="I786" s="7"/>
      <c r="K786" s="62"/>
      <c r="L786" s="7"/>
      <c r="M786" s="7"/>
      <c r="O786" s="7"/>
      <c r="Q786" s="7"/>
      <c r="S786" s="7"/>
      <c r="U786" s="7"/>
      <c r="W786" s="7"/>
    </row>
    <row r="787">
      <c r="E787" s="62"/>
      <c r="F787" s="7"/>
      <c r="G787" s="7"/>
      <c r="I787" s="7"/>
      <c r="K787" s="62"/>
      <c r="L787" s="7"/>
      <c r="M787" s="7"/>
      <c r="O787" s="7"/>
      <c r="Q787" s="7"/>
      <c r="S787" s="7"/>
      <c r="U787" s="7"/>
      <c r="W787" s="7"/>
    </row>
    <row r="788">
      <c r="E788" s="62"/>
      <c r="F788" s="7"/>
      <c r="G788" s="7"/>
      <c r="I788" s="7"/>
      <c r="K788" s="62"/>
      <c r="L788" s="7"/>
      <c r="M788" s="7"/>
      <c r="O788" s="7"/>
      <c r="Q788" s="7"/>
      <c r="S788" s="7"/>
      <c r="U788" s="7"/>
      <c r="W788" s="7"/>
    </row>
    <row r="789">
      <c r="E789" s="62"/>
      <c r="F789" s="7"/>
      <c r="G789" s="7"/>
      <c r="I789" s="7"/>
      <c r="K789" s="62"/>
      <c r="L789" s="7"/>
      <c r="M789" s="7"/>
      <c r="O789" s="7"/>
      <c r="Q789" s="7"/>
      <c r="S789" s="7"/>
      <c r="U789" s="7"/>
      <c r="W789" s="7"/>
    </row>
    <row r="790">
      <c r="E790" s="62"/>
      <c r="F790" s="7"/>
      <c r="G790" s="7"/>
      <c r="I790" s="7"/>
      <c r="K790" s="62"/>
      <c r="L790" s="7"/>
      <c r="M790" s="7"/>
      <c r="O790" s="7"/>
      <c r="Q790" s="7"/>
      <c r="S790" s="7"/>
      <c r="U790" s="7"/>
      <c r="W790" s="7"/>
    </row>
    <row r="791">
      <c r="E791" s="62"/>
      <c r="F791" s="7"/>
      <c r="G791" s="7"/>
      <c r="I791" s="7"/>
      <c r="K791" s="62"/>
      <c r="L791" s="7"/>
      <c r="M791" s="7"/>
      <c r="O791" s="7"/>
      <c r="Q791" s="7"/>
      <c r="S791" s="7"/>
      <c r="U791" s="7"/>
      <c r="W791" s="7"/>
    </row>
    <row r="792">
      <c r="E792" s="62"/>
      <c r="F792" s="7"/>
      <c r="G792" s="7"/>
      <c r="I792" s="7"/>
      <c r="K792" s="62"/>
      <c r="L792" s="7"/>
      <c r="M792" s="7"/>
      <c r="O792" s="7"/>
      <c r="Q792" s="7"/>
      <c r="S792" s="7"/>
      <c r="U792" s="7"/>
      <c r="W792" s="7"/>
    </row>
    <row r="793">
      <c r="E793" s="62"/>
      <c r="F793" s="7"/>
      <c r="G793" s="7"/>
      <c r="I793" s="7"/>
      <c r="K793" s="62"/>
      <c r="L793" s="7"/>
      <c r="M793" s="7"/>
      <c r="O793" s="7"/>
      <c r="Q793" s="7"/>
      <c r="S793" s="7"/>
      <c r="U793" s="7"/>
      <c r="W793" s="7"/>
    </row>
    <row r="794">
      <c r="E794" s="62"/>
      <c r="F794" s="7"/>
      <c r="G794" s="7"/>
      <c r="I794" s="7"/>
      <c r="K794" s="62"/>
      <c r="L794" s="7"/>
      <c r="M794" s="7"/>
      <c r="O794" s="7"/>
      <c r="Q794" s="7"/>
      <c r="S794" s="7"/>
      <c r="U794" s="7"/>
      <c r="W794" s="7"/>
    </row>
    <row r="795">
      <c r="E795" s="62"/>
      <c r="F795" s="7"/>
      <c r="G795" s="7"/>
      <c r="I795" s="7"/>
      <c r="K795" s="62"/>
      <c r="L795" s="7"/>
      <c r="M795" s="7"/>
      <c r="O795" s="7"/>
      <c r="Q795" s="7"/>
      <c r="S795" s="7"/>
      <c r="U795" s="7"/>
      <c r="W795" s="7"/>
    </row>
    <row r="796">
      <c r="E796" s="62"/>
      <c r="F796" s="7"/>
      <c r="G796" s="7"/>
      <c r="I796" s="7"/>
      <c r="K796" s="62"/>
      <c r="L796" s="7"/>
      <c r="M796" s="7"/>
      <c r="O796" s="7"/>
      <c r="Q796" s="7"/>
      <c r="S796" s="7"/>
      <c r="U796" s="7"/>
      <c r="W796" s="7"/>
    </row>
    <row r="797">
      <c r="E797" s="62"/>
      <c r="F797" s="7"/>
      <c r="G797" s="7"/>
      <c r="I797" s="7"/>
      <c r="K797" s="62"/>
      <c r="L797" s="7"/>
      <c r="M797" s="7"/>
      <c r="O797" s="7"/>
      <c r="Q797" s="7"/>
      <c r="S797" s="7"/>
      <c r="U797" s="7"/>
      <c r="W797" s="7"/>
    </row>
    <row r="798">
      <c r="E798" s="62"/>
      <c r="F798" s="7"/>
      <c r="G798" s="7"/>
      <c r="I798" s="7"/>
      <c r="K798" s="62"/>
      <c r="L798" s="7"/>
      <c r="M798" s="7"/>
      <c r="O798" s="7"/>
      <c r="Q798" s="7"/>
      <c r="S798" s="7"/>
      <c r="U798" s="7"/>
      <c r="W798" s="7"/>
    </row>
    <row r="799">
      <c r="E799" s="62"/>
      <c r="F799" s="7"/>
      <c r="G799" s="7"/>
      <c r="I799" s="7"/>
      <c r="K799" s="62"/>
      <c r="L799" s="7"/>
      <c r="M799" s="7"/>
      <c r="O799" s="7"/>
      <c r="Q799" s="7"/>
      <c r="S799" s="7"/>
      <c r="U799" s="7"/>
      <c r="W799" s="7"/>
    </row>
    <row r="800">
      <c r="E800" s="62"/>
      <c r="F800" s="7"/>
      <c r="G800" s="7"/>
      <c r="I800" s="7"/>
      <c r="K800" s="62"/>
      <c r="L800" s="7"/>
      <c r="M800" s="7"/>
      <c r="O800" s="7"/>
      <c r="Q800" s="7"/>
      <c r="S800" s="7"/>
      <c r="U800" s="7"/>
      <c r="W800" s="7"/>
    </row>
    <row r="801">
      <c r="E801" s="62"/>
      <c r="F801" s="7"/>
      <c r="G801" s="7"/>
      <c r="I801" s="7"/>
      <c r="K801" s="62"/>
      <c r="L801" s="7"/>
      <c r="M801" s="7"/>
      <c r="O801" s="7"/>
      <c r="Q801" s="7"/>
      <c r="S801" s="7"/>
      <c r="U801" s="7"/>
      <c r="W801" s="7"/>
    </row>
    <row r="802">
      <c r="E802" s="62"/>
      <c r="F802" s="7"/>
      <c r="G802" s="7"/>
      <c r="I802" s="7"/>
      <c r="K802" s="62"/>
      <c r="L802" s="7"/>
      <c r="M802" s="7"/>
      <c r="O802" s="7"/>
      <c r="Q802" s="7"/>
      <c r="S802" s="7"/>
      <c r="U802" s="7"/>
      <c r="W802" s="7"/>
    </row>
    <row r="803">
      <c r="E803" s="62"/>
      <c r="F803" s="7"/>
      <c r="G803" s="7"/>
      <c r="I803" s="7"/>
      <c r="K803" s="62"/>
      <c r="L803" s="7"/>
      <c r="M803" s="7"/>
      <c r="O803" s="7"/>
      <c r="Q803" s="7"/>
      <c r="S803" s="7"/>
      <c r="U803" s="7"/>
      <c r="W803" s="7"/>
    </row>
    <row r="804">
      <c r="E804" s="62"/>
      <c r="F804" s="7"/>
      <c r="G804" s="7"/>
      <c r="I804" s="7"/>
      <c r="K804" s="62"/>
      <c r="L804" s="7"/>
      <c r="M804" s="7"/>
      <c r="O804" s="7"/>
      <c r="Q804" s="7"/>
      <c r="S804" s="7"/>
      <c r="U804" s="7"/>
      <c r="W804" s="7"/>
    </row>
    <row r="805">
      <c r="E805" s="62"/>
      <c r="F805" s="7"/>
      <c r="G805" s="7"/>
      <c r="I805" s="7"/>
      <c r="K805" s="62"/>
      <c r="L805" s="7"/>
      <c r="M805" s="7"/>
      <c r="O805" s="7"/>
      <c r="Q805" s="7"/>
      <c r="S805" s="7"/>
      <c r="U805" s="7"/>
      <c r="W805" s="7"/>
    </row>
    <row r="806">
      <c r="E806" s="62"/>
      <c r="F806" s="7"/>
      <c r="G806" s="7"/>
      <c r="I806" s="7"/>
      <c r="K806" s="62"/>
      <c r="L806" s="7"/>
      <c r="M806" s="7"/>
      <c r="O806" s="7"/>
      <c r="Q806" s="7"/>
      <c r="S806" s="7"/>
      <c r="U806" s="7"/>
      <c r="W806" s="7"/>
    </row>
    <row r="807">
      <c r="E807" s="62"/>
      <c r="F807" s="7"/>
      <c r="G807" s="7"/>
      <c r="I807" s="7"/>
      <c r="K807" s="62"/>
      <c r="L807" s="7"/>
      <c r="M807" s="7"/>
      <c r="O807" s="7"/>
      <c r="Q807" s="7"/>
      <c r="S807" s="7"/>
      <c r="U807" s="7"/>
      <c r="W807" s="7"/>
    </row>
    <row r="808">
      <c r="E808" s="62"/>
      <c r="F808" s="7"/>
      <c r="G808" s="7"/>
      <c r="I808" s="7"/>
      <c r="K808" s="62"/>
      <c r="L808" s="7"/>
      <c r="M808" s="7"/>
      <c r="O808" s="7"/>
      <c r="Q808" s="7"/>
      <c r="S808" s="7"/>
      <c r="U808" s="7"/>
      <c r="W808" s="7"/>
    </row>
    <row r="809">
      <c r="E809" s="62"/>
      <c r="F809" s="7"/>
      <c r="G809" s="7"/>
      <c r="I809" s="7"/>
      <c r="K809" s="62"/>
      <c r="L809" s="7"/>
      <c r="M809" s="7"/>
      <c r="O809" s="7"/>
      <c r="Q809" s="7"/>
      <c r="S809" s="7"/>
      <c r="U809" s="7"/>
      <c r="W809" s="7"/>
    </row>
    <row r="810">
      <c r="E810" s="62"/>
      <c r="F810" s="7"/>
      <c r="G810" s="7"/>
      <c r="I810" s="7"/>
      <c r="K810" s="62"/>
      <c r="L810" s="7"/>
      <c r="M810" s="7"/>
      <c r="O810" s="7"/>
      <c r="Q810" s="7"/>
      <c r="S810" s="7"/>
      <c r="U810" s="7"/>
      <c r="W810" s="7"/>
    </row>
    <row r="811">
      <c r="E811" s="62"/>
      <c r="F811" s="7"/>
      <c r="G811" s="7"/>
      <c r="I811" s="7"/>
      <c r="K811" s="62"/>
      <c r="L811" s="7"/>
      <c r="M811" s="7"/>
      <c r="O811" s="7"/>
      <c r="Q811" s="7"/>
      <c r="S811" s="7"/>
      <c r="U811" s="7"/>
      <c r="W811" s="7"/>
    </row>
    <row r="812">
      <c r="E812" s="62"/>
      <c r="F812" s="7"/>
      <c r="G812" s="7"/>
      <c r="I812" s="7"/>
      <c r="K812" s="62"/>
      <c r="L812" s="7"/>
      <c r="M812" s="7"/>
      <c r="O812" s="7"/>
      <c r="Q812" s="7"/>
      <c r="S812" s="7"/>
      <c r="U812" s="7"/>
      <c r="W812" s="7"/>
    </row>
    <row r="813">
      <c r="E813" s="62"/>
      <c r="F813" s="7"/>
      <c r="G813" s="7"/>
      <c r="I813" s="7"/>
      <c r="K813" s="62"/>
      <c r="L813" s="7"/>
      <c r="M813" s="7"/>
      <c r="O813" s="7"/>
      <c r="Q813" s="7"/>
      <c r="S813" s="7"/>
      <c r="U813" s="7"/>
      <c r="W813" s="7"/>
    </row>
    <row r="814">
      <c r="E814" s="62"/>
      <c r="F814" s="7"/>
      <c r="G814" s="7"/>
      <c r="I814" s="7"/>
      <c r="K814" s="62"/>
      <c r="L814" s="7"/>
      <c r="M814" s="7"/>
      <c r="O814" s="7"/>
      <c r="Q814" s="7"/>
      <c r="S814" s="7"/>
      <c r="U814" s="7"/>
      <c r="W814" s="7"/>
    </row>
    <row r="815">
      <c r="E815" s="62"/>
      <c r="F815" s="7"/>
      <c r="G815" s="7"/>
      <c r="I815" s="7"/>
      <c r="K815" s="62"/>
      <c r="L815" s="7"/>
      <c r="M815" s="7"/>
      <c r="O815" s="7"/>
      <c r="Q815" s="7"/>
      <c r="S815" s="7"/>
      <c r="U815" s="7"/>
      <c r="W815" s="7"/>
    </row>
    <row r="816">
      <c r="E816" s="62"/>
      <c r="F816" s="7"/>
      <c r="G816" s="7"/>
      <c r="I816" s="7"/>
      <c r="K816" s="62"/>
      <c r="L816" s="7"/>
      <c r="M816" s="7"/>
      <c r="O816" s="7"/>
      <c r="Q816" s="7"/>
      <c r="S816" s="7"/>
      <c r="U816" s="7"/>
      <c r="W816" s="7"/>
    </row>
    <row r="817">
      <c r="E817" s="62"/>
      <c r="F817" s="7"/>
      <c r="G817" s="7"/>
      <c r="I817" s="7"/>
      <c r="K817" s="62"/>
      <c r="L817" s="7"/>
      <c r="M817" s="7"/>
      <c r="O817" s="7"/>
      <c r="Q817" s="7"/>
      <c r="S817" s="7"/>
      <c r="U817" s="7"/>
      <c r="W817" s="7"/>
    </row>
    <row r="818">
      <c r="E818" s="62"/>
      <c r="F818" s="7"/>
      <c r="G818" s="7"/>
      <c r="I818" s="7"/>
      <c r="K818" s="62"/>
      <c r="L818" s="7"/>
      <c r="M818" s="7"/>
      <c r="O818" s="7"/>
      <c r="Q818" s="7"/>
      <c r="S818" s="7"/>
      <c r="U818" s="7"/>
      <c r="W818" s="7"/>
    </row>
    <row r="819">
      <c r="E819" s="62"/>
      <c r="F819" s="7"/>
      <c r="G819" s="7"/>
      <c r="I819" s="7"/>
      <c r="K819" s="62"/>
      <c r="L819" s="7"/>
      <c r="M819" s="7"/>
      <c r="O819" s="7"/>
      <c r="Q819" s="7"/>
      <c r="S819" s="7"/>
      <c r="U819" s="7"/>
      <c r="W819" s="7"/>
    </row>
    <row r="820">
      <c r="E820" s="62"/>
      <c r="F820" s="7"/>
      <c r="G820" s="7"/>
      <c r="I820" s="7"/>
      <c r="K820" s="62"/>
      <c r="L820" s="7"/>
      <c r="M820" s="7"/>
      <c r="O820" s="7"/>
      <c r="Q820" s="7"/>
      <c r="S820" s="7"/>
      <c r="U820" s="7"/>
      <c r="W820" s="7"/>
    </row>
    <row r="821">
      <c r="E821" s="62"/>
      <c r="F821" s="7"/>
      <c r="G821" s="7"/>
      <c r="I821" s="7"/>
      <c r="K821" s="62"/>
      <c r="L821" s="7"/>
      <c r="M821" s="7"/>
      <c r="O821" s="7"/>
      <c r="Q821" s="7"/>
      <c r="S821" s="7"/>
      <c r="U821" s="7"/>
      <c r="W821" s="7"/>
    </row>
    <row r="822">
      <c r="E822" s="62"/>
      <c r="F822" s="7"/>
      <c r="G822" s="7"/>
      <c r="I822" s="7"/>
      <c r="K822" s="62"/>
      <c r="L822" s="7"/>
      <c r="M822" s="7"/>
      <c r="O822" s="7"/>
      <c r="Q822" s="7"/>
      <c r="S822" s="7"/>
      <c r="U822" s="7"/>
      <c r="W822" s="7"/>
    </row>
    <row r="823">
      <c r="E823" s="62"/>
      <c r="F823" s="7"/>
      <c r="G823" s="7"/>
      <c r="I823" s="7"/>
      <c r="K823" s="62"/>
      <c r="L823" s="7"/>
      <c r="M823" s="7"/>
      <c r="O823" s="7"/>
      <c r="Q823" s="7"/>
      <c r="S823" s="7"/>
      <c r="U823" s="7"/>
      <c r="W823" s="7"/>
    </row>
    <row r="824">
      <c r="E824" s="62"/>
      <c r="F824" s="7"/>
      <c r="G824" s="7"/>
      <c r="I824" s="7"/>
      <c r="K824" s="62"/>
      <c r="L824" s="7"/>
      <c r="M824" s="7"/>
      <c r="O824" s="7"/>
      <c r="Q824" s="7"/>
      <c r="S824" s="7"/>
      <c r="U824" s="7"/>
      <c r="W824" s="7"/>
    </row>
    <row r="825">
      <c r="E825" s="62"/>
      <c r="F825" s="7"/>
      <c r="G825" s="7"/>
      <c r="I825" s="7"/>
      <c r="K825" s="62"/>
      <c r="L825" s="7"/>
      <c r="M825" s="7"/>
      <c r="O825" s="7"/>
      <c r="Q825" s="7"/>
      <c r="S825" s="7"/>
      <c r="U825" s="7"/>
      <c r="W825" s="7"/>
    </row>
    <row r="826">
      <c r="E826" s="62"/>
      <c r="F826" s="7"/>
      <c r="G826" s="7"/>
      <c r="I826" s="7"/>
      <c r="K826" s="62"/>
      <c r="L826" s="7"/>
      <c r="M826" s="7"/>
      <c r="O826" s="7"/>
      <c r="Q826" s="7"/>
      <c r="S826" s="7"/>
      <c r="U826" s="7"/>
      <c r="W826" s="7"/>
    </row>
    <row r="827">
      <c r="E827" s="62"/>
      <c r="F827" s="7"/>
      <c r="G827" s="7"/>
      <c r="I827" s="7"/>
      <c r="K827" s="62"/>
      <c r="L827" s="7"/>
      <c r="M827" s="7"/>
      <c r="O827" s="7"/>
      <c r="Q827" s="7"/>
      <c r="S827" s="7"/>
      <c r="U827" s="7"/>
      <c r="W827" s="7"/>
    </row>
    <row r="828">
      <c r="E828" s="62"/>
      <c r="F828" s="7"/>
      <c r="G828" s="7"/>
      <c r="I828" s="7"/>
      <c r="K828" s="62"/>
      <c r="L828" s="7"/>
      <c r="M828" s="7"/>
      <c r="O828" s="7"/>
      <c r="Q828" s="7"/>
      <c r="S828" s="7"/>
      <c r="U828" s="7"/>
      <c r="W828" s="7"/>
    </row>
    <row r="829">
      <c r="E829" s="62"/>
      <c r="F829" s="7"/>
      <c r="G829" s="7"/>
      <c r="I829" s="7"/>
      <c r="K829" s="62"/>
      <c r="L829" s="7"/>
      <c r="M829" s="7"/>
      <c r="O829" s="7"/>
      <c r="Q829" s="7"/>
      <c r="S829" s="7"/>
      <c r="U829" s="7"/>
      <c r="W829" s="7"/>
    </row>
    <row r="830">
      <c r="E830" s="62"/>
      <c r="F830" s="7"/>
      <c r="G830" s="7"/>
      <c r="I830" s="7"/>
      <c r="K830" s="62"/>
      <c r="L830" s="7"/>
      <c r="M830" s="7"/>
      <c r="O830" s="7"/>
      <c r="Q830" s="7"/>
      <c r="S830" s="7"/>
      <c r="U830" s="7"/>
      <c r="W830" s="7"/>
    </row>
    <row r="831">
      <c r="E831" s="62"/>
      <c r="F831" s="7"/>
      <c r="G831" s="7"/>
      <c r="I831" s="7"/>
      <c r="K831" s="62"/>
      <c r="L831" s="7"/>
      <c r="M831" s="7"/>
      <c r="O831" s="7"/>
      <c r="Q831" s="7"/>
      <c r="S831" s="7"/>
      <c r="U831" s="7"/>
      <c r="W831" s="7"/>
    </row>
    <row r="832">
      <c r="E832" s="62"/>
      <c r="F832" s="7"/>
      <c r="G832" s="7"/>
      <c r="I832" s="7"/>
      <c r="K832" s="62"/>
      <c r="L832" s="7"/>
      <c r="M832" s="7"/>
      <c r="O832" s="7"/>
      <c r="Q832" s="7"/>
      <c r="S832" s="7"/>
      <c r="U832" s="7"/>
      <c r="W832" s="7"/>
    </row>
    <row r="833">
      <c r="E833" s="62"/>
      <c r="F833" s="7"/>
      <c r="G833" s="7"/>
      <c r="I833" s="7"/>
      <c r="K833" s="62"/>
      <c r="L833" s="7"/>
      <c r="M833" s="7"/>
      <c r="O833" s="7"/>
      <c r="Q833" s="7"/>
      <c r="S833" s="7"/>
      <c r="U833" s="7"/>
      <c r="W833" s="7"/>
    </row>
    <row r="834">
      <c r="E834" s="62"/>
      <c r="F834" s="7"/>
      <c r="G834" s="7"/>
      <c r="I834" s="7"/>
      <c r="K834" s="62"/>
      <c r="L834" s="7"/>
      <c r="M834" s="7"/>
      <c r="O834" s="7"/>
      <c r="Q834" s="7"/>
      <c r="S834" s="7"/>
      <c r="U834" s="7"/>
      <c r="W834" s="7"/>
    </row>
    <row r="835">
      <c r="E835" s="62"/>
      <c r="F835" s="7"/>
      <c r="G835" s="7"/>
      <c r="I835" s="7"/>
      <c r="K835" s="62"/>
      <c r="L835" s="7"/>
      <c r="M835" s="7"/>
      <c r="O835" s="7"/>
      <c r="Q835" s="7"/>
      <c r="S835" s="7"/>
      <c r="U835" s="7"/>
      <c r="W835" s="7"/>
    </row>
    <row r="836">
      <c r="E836" s="62"/>
      <c r="F836" s="7"/>
      <c r="G836" s="7"/>
      <c r="I836" s="7"/>
      <c r="K836" s="62"/>
      <c r="L836" s="7"/>
      <c r="M836" s="7"/>
      <c r="O836" s="7"/>
      <c r="Q836" s="7"/>
      <c r="S836" s="7"/>
      <c r="U836" s="7"/>
      <c r="W836" s="7"/>
    </row>
    <row r="837">
      <c r="E837" s="62"/>
      <c r="F837" s="7"/>
      <c r="G837" s="7"/>
      <c r="I837" s="7"/>
      <c r="K837" s="62"/>
      <c r="L837" s="7"/>
      <c r="M837" s="7"/>
      <c r="O837" s="7"/>
      <c r="Q837" s="7"/>
      <c r="S837" s="7"/>
      <c r="U837" s="7"/>
      <c r="W837" s="7"/>
    </row>
    <row r="838">
      <c r="E838" s="62"/>
      <c r="F838" s="7"/>
      <c r="G838" s="7"/>
      <c r="I838" s="7"/>
      <c r="K838" s="62"/>
      <c r="L838" s="7"/>
      <c r="M838" s="7"/>
      <c r="O838" s="7"/>
      <c r="Q838" s="7"/>
      <c r="S838" s="7"/>
      <c r="U838" s="7"/>
      <c r="W838" s="7"/>
    </row>
    <row r="839">
      <c r="E839" s="62"/>
      <c r="F839" s="7"/>
      <c r="G839" s="7"/>
      <c r="I839" s="7"/>
      <c r="K839" s="62"/>
      <c r="L839" s="7"/>
      <c r="M839" s="7"/>
      <c r="O839" s="7"/>
      <c r="Q839" s="7"/>
      <c r="S839" s="7"/>
      <c r="U839" s="7"/>
      <c r="W839" s="7"/>
    </row>
    <row r="840">
      <c r="E840" s="62"/>
      <c r="F840" s="7"/>
      <c r="G840" s="7"/>
      <c r="I840" s="7"/>
      <c r="K840" s="62"/>
      <c r="L840" s="7"/>
      <c r="M840" s="7"/>
      <c r="O840" s="7"/>
      <c r="Q840" s="7"/>
      <c r="S840" s="7"/>
      <c r="U840" s="7"/>
      <c r="W840" s="7"/>
    </row>
    <row r="841">
      <c r="E841" s="62"/>
      <c r="F841" s="7"/>
      <c r="G841" s="7"/>
      <c r="I841" s="7"/>
      <c r="K841" s="62"/>
      <c r="L841" s="7"/>
      <c r="M841" s="7"/>
      <c r="O841" s="7"/>
      <c r="Q841" s="7"/>
      <c r="S841" s="7"/>
      <c r="U841" s="7"/>
      <c r="W841" s="7"/>
    </row>
    <row r="842">
      <c r="E842" s="62"/>
      <c r="F842" s="7"/>
      <c r="G842" s="7"/>
      <c r="I842" s="7"/>
      <c r="K842" s="62"/>
      <c r="L842" s="7"/>
      <c r="M842" s="7"/>
      <c r="O842" s="7"/>
      <c r="Q842" s="7"/>
      <c r="S842" s="7"/>
      <c r="U842" s="7"/>
      <c r="W842" s="7"/>
    </row>
    <row r="843">
      <c r="E843" s="62"/>
      <c r="F843" s="7"/>
      <c r="G843" s="7"/>
      <c r="I843" s="7"/>
      <c r="K843" s="62"/>
      <c r="L843" s="7"/>
      <c r="M843" s="7"/>
      <c r="O843" s="7"/>
      <c r="Q843" s="7"/>
      <c r="S843" s="7"/>
      <c r="U843" s="7"/>
      <c r="W843" s="7"/>
    </row>
    <row r="844">
      <c r="E844" s="62"/>
      <c r="F844" s="7"/>
      <c r="G844" s="7"/>
      <c r="I844" s="7"/>
      <c r="K844" s="62"/>
      <c r="L844" s="7"/>
      <c r="M844" s="7"/>
      <c r="O844" s="7"/>
      <c r="Q844" s="7"/>
      <c r="S844" s="7"/>
      <c r="U844" s="7"/>
      <c r="W844" s="7"/>
    </row>
    <row r="845">
      <c r="E845" s="62"/>
      <c r="F845" s="7"/>
      <c r="G845" s="7"/>
      <c r="I845" s="7"/>
      <c r="K845" s="62"/>
      <c r="L845" s="7"/>
      <c r="M845" s="7"/>
      <c r="O845" s="7"/>
      <c r="Q845" s="7"/>
      <c r="S845" s="7"/>
      <c r="U845" s="7"/>
      <c r="W845" s="7"/>
    </row>
    <row r="846">
      <c r="E846" s="62"/>
      <c r="F846" s="7"/>
      <c r="G846" s="7"/>
      <c r="I846" s="7"/>
      <c r="K846" s="62"/>
      <c r="L846" s="7"/>
      <c r="M846" s="7"/>
      <c r="O846" s="7"/>
      <c r="Q846" s="7"/>
      <c r="S846" s="7"/>
      <c r="U846" s="7"/>
      <c r="W846" s="7"/>
    </row>
    <row r="847">
      <c r="E847" s="62"/>
      <c r="F847" s="7"/>
      <c r="G847" s="7"/>
      <c r="I847" s="7"/>
      <c r="K847" s="62"/>
      <c r="L847" s="7"/>
      <c r="M847" s="7"/>
      <c r="O847" s="7"/>
      <c r="Q847" s="7"/>
      <c r="S847" s="7"/>
      <c r="U847" s="7"/>
      <c r="W847" s="7"/>
    </row>
    <row r="848">
      <c r="E848" s="62"/>
      <c r="F848" s="7"/>
      <c r="G848" s="7"/>
      <c r="I848" s="7"/>
      <c r="K848" s="62"/>
      <c r="L848" s="7"/>
      <c r="M848" s="7"/>
      <c r="O848" s="7"/>
      <c r="Q848" s="7"/>
      <c r="S848" s="7"/>
      <c r="U848" s="7"/>
      <c r="W848" s="7"/>
    </row>
    <row r="849">
      <c r="E849" s="62"/>
      <c r="F849" s="7"/>
      <c r="G849" s="7"/>
      <c r="I849" s="7"/>
      <c r="K849" s="62"/>
      <c r="L849" s="7"/>
      <c r="M849" s="7"/>
      <c r="O849" s="7"/>
      <c r="Q849" s="7"/>
      <c r="S849" s="7"/>
      <c r="U849" s="7"/>
      <c r="W849" s="7"/>
    </row>
    <row r="850">
      <c r="E850" s="62"/>
      <c r="F850" s="7"/>
      <c r="G850" s="7"/>
      <c r="I850" s="7"/>
      <c r="K850" s="62"/>
      <c r="L850" s="7"/>
      <c r="M850" s="7"/>
      <c r="O850" s="7"/>
      <c r="Q850" s="7"/>
      <c r="S850" s="7"/>
      <c r="U850" s="7"/>
      <c r="W850" s="7"/>
    </row>
    <row r="851">
      <c r="E851" s="62"/>
      <c r="F851" s="7"/>
      <c r="G851" s="7"/>
      <c r="I851" s="7"/>
      <c r="K851" s="62"/>
      <c r="L851" s="7"/>
      <c r="M851" s="7"/>
      <c r="O851" s="7"/>
      <c r="Q851" s="7"/>
      <c r="S851" s="7"/>
      <c r="U851" s="7"/>
      <c r="W851" s="7"/>
    </row>
    <row r="852">
      <c r="E852" s="62"/>
      <c r="F852" s="7"/>
      <c r="G852" s="7"/>
      <c r="I852" s="7"/>
      <c r="K852" s="62"/>
      <c r="L852" s="7"/>
      <c r="M852" s="7"/>
      <c r="O852" s="7"/>
      <c r="Q852" s="7"/>
      <c r="S852" s="7"/>
      <c r="U852" s="7"/>
      <c r="W852" s="7"/>
    </row>
    <row r="853">
      <c r="E853" s="62"/>
      <c r="F853" s="7"/>
      <c r="G853" s="7"/>
      <c r="I853" s="7"/>
      <c r="K853" s="62"/>
      <c r="L853" s="7"/>
      <c r="M853" s="7"/>
      <c r="O853" s="7"/>
      <c r="Q853" s="7"/>
      <c r="S853" s="7"/>
      <c r="U853" s="7"/>
      <c r="W853" s="7"/>
    </row>
    <row r="854">
      <c r="E854" s="62"/>
      <c r="F854" s="7"/>
      <c r="G854" s="7"/>
      <c r="I854" s="7"/>
      <c r="K854" s="62"/>
      <c r="L854" s="7"/>
      <c r="M854" s="7"/>
      <c r="O854" s="7"/>
      <c r="Q854" s="7"/>
      <c r="S854" s="7"/>
      <c r="U854" s="7"/>
      <c r="W854" s="7"/>
    </row>
    <row r="855">
      <c r="E855" s="62"/>
      <c r="F855" s="7"/>
      <c r="G855" s="7"/>
      <c r="I855" s="7"/>
      <c r="K855" s="62"/>
      <c r="L855" s="7"/>
      <c r="M855" s="7"/>
      <c r="O855" s="7"/>
      <c r="Q855" s="7"/>
      <c r="S855" s="7"/>
      <c r="U855" s="7"/>
      <c r="W855" s="7"/>
    </row>
    <row r="856">
      <c r="E856" s="62"/>
      <c r="F856" s="7"/>
      <c r="G856" s="7"/>
      <c r="I856" s="7"/>
      <c r="K856" s="62"/>
      <c r="L856" s="7"/>
      <c r="M856" s="7"/>
      <c r="O856" s="7"/>
      <c r="Q856" s="7"/>
      <c r="S856" s="7"/>
      <c r="U856" s="7"/>
      <c r="W856" s="7"/>
    </row>
    <row r="857">
      <c r="E857" s="62"/>
      <c r="F857" s="7"/>
      <c r="G857" s="7"/>
      <c r="I857" s="7"/>
      <c r="K857" s="62"/>
      <c r="L857" s="7"/>
      <c r="M857" s="7"/>
      <c r="O857" s="7"/>
      <c r="Q857" s="7"/>
      <c r="S857" s="7"/>
      <c r="U857" s="7"/>
      <c r="W857" s="7"/>
    </row>
    <row r="858">
      <c r="E858" s="62"/>
      <c r="F858" s="7"/>
      <c r="G858" s="7"/>
      <c r="I858" s="7"/>
      <c r="K858" s="62"/>
      <c r="L858" s="7"/>
      <c r="M858" s="7"/>
      <c r="O858" s="7"/>
      <c r="Q858" s="7"/>
      <c r="S858" s="7"/>
      <c r="U858" s="7"/>
      <c r="W858" s="7"/>
    </row>
    <row r="859">
      <c r="E859" s="62"/>
      <c r="F859" s="7"/>
      <c r="G859" s="7"/>
      <c r="I859" s="7"/>
      <c r="K859" s="62"/>
      <c r="L859" s="7"/>
      <c r="M859" s="7"/>
      <c r="O859" s="7"/>
      <c r="Q859" s="7"/>
      <c r="S859" s="7"/>
      <c r="U859" s="7"/>
      <c r="W859" s="7"/>
    </row>
    <row r="860">
      <c r="E860" s="62"/>
      <c r="F860" s="7"/>
      <c r="G860" s="7"/>
      <c r="I860" s="7"/>
      <c r="K860" s="62"/>
      <c r="L860" s="7"/>
      <c r="M860" s="7"/>
      <c r="O860" s="7"/>
      <c r="Q860" s="7"/>
      <c r="S860" s="7"/>
      <c r="U860" s="7"/>
      <c r="W860" s="7"/>
    </row>
    <row r="861">
      <c r="E861" s="62"/>
      <c r="F861" s="7"/>
      <c r="G861" s="7"/>
      <c r="I861" s="7"/>
      <c r="K861" s="62"/>
      <c r="L861" s="7"/>
      <c r="M861" s="7"/>
      <c r="O861" s="7"/>
      <c r="Q861" s="7"/>
      <c r="S861" s="7"/>
      <c r="U861" s="7"/>
      <c r="W861" s="7"/>
    </row>
    <row r="862">
      <c r="E862" s="62"/>
      <c r="F862" s="7"/>
      <c r="G862" s="7"/>
      <c r="I862" s="7"/>
      <c r="K862" s="62"/>
      <c r="L862" s="7"/>
      <c r="M862" s="7"/>
      <c r="O862" s="7"/>
      <c r="Q862" s="7"/>
      <c r="S862" s="7"/>
      <c r="U862" s="7"/>
      <c r="W862" s="7"/>
    </row>
    <row r="863">
      <c r="E863" s="62"/>
      <c r="F863" s="7"/>
      <c r="G863" s="7"/>
      <c r="I863" s="7"/>
      <c r="K863" s="62"/>
      <c r="L863" s="7"/>
      <c r="M863" s="7"/>
      <c r="O863" s="7"/>
      <c r="Q863" s="7"/>
      <c r="S863" s="7"/>
      <c r="U863" s="7"/>
      <c r="W863" s="7"/>
    </row>
    <row r="864">
      <c r="E864" s="62"/>
      <c r="F864" s="7"/>
      <c r="G864" s="7"/>
      <c r="I864" s="7"/>
      <c r="K864" s="62"/>
      <c r="L864" s="7"/>
      <c r="M864" s="7"/>
      <c r="O864" s="7"/>
      <c r="Q864" s="7"/>
      <c r="S864" s="7"/>
      <c r="U864" s="7"/>
      <c r="W864" s="7"/>
    </row>
    <row r="865">
      <c r="E865" s="62"/>
      <c r="F865" s="7"/>
      <c r="G865" s="7"/>
      <c r="I865" s="7"/>
      <c r="K865" s="62"/>
      <c r="L865" s="7"/>
      <c r="M865" s="7"/>
      <c r="O865" s="7"/>
      <c r="Q865" s="7"/>
      <c r="S865" s="7"/>
      <c r="U865" s="7"/>
      <c r="W865" s="7"/>
    </row>
    <row r="866">
      <c r="E866" s="62"/>
      <c r="F866" s="7"/>
      <c r="G866" s="7"/>
      <c r="I866" s="7"/>
      <c r="K866" s="62"/>
      <c r="L866" s="7"/>
      <c r="M866" s="7"/>
      <c r="O866" s="7"/>
      <c r="Q866" s="7"/>
      <c r="S866" s="7"/>
      <c r="U866" s="7"/>
      <c r="W866" s="7"/>
    </row>
    <row r="867">
      <c r="E867" s="62"/>
      <c r="F867" s="7"/>
      <c r="G867" s="7"/>
      <c r="I867" s="7"/>
      <c r="K867" s="62"/>
      <c r="L867" s="7"/>
      <c r="M867" s="7"/>
      <c r="O867" s="7"/>
      <c r="Q867" s="7"/>
      <c r="S867" s="7"/>
      <c r="U867" s="7"/>
      <c r="W867" s="7"/>
    </row>
    <row r="868">
      <c r="E868" s="62"/>
      <c r="F868" s="7"/>
      <c r="G868" s="7"/>
      <c r="I868" s="7"/>
      <c r="K868" s="62"/>
      <c r="L868" s="7"/>
      <c r="M868" s="7"/>
      <c r="O868" s="7"/>
      <c r="Q868" s="7"/>
      <c r="S868" s="7"/>
      <c r="U868" s="7"/>
      <c r="W868" s="7"/>
    </row>
    <row r="869">
      <c r="E869" s="62"/>
      <c r="F869" s="7"/>
      <c r="G869" s="7"/>
      <c r="I869" s="7"/>
      <c r="K869" s="62"/>
      <c r="L869" s="7"/>
      <c r="M869" s="7"/>
      <c r="O869" s="7"/>
      <c r="Q869" s="7"/>
      <c r="S869" s="7"/>
      <c r="U869" s="7"/>
      <c r="W869" s="7"/>
    </row>
    <row r="870">
      <c r="E870" s="62"/>
      <c r="F870" s="7"/>
      <c r="G870" s="7"/>
      <c r="I870" s="7"/>
      <c r="K870" s="62"/>
      <c r="L870" s="7"/>
      <c r="M870" s="7"/>
      <c r="O870" s="7"/>
      <c r="Q870" s="7"/>
      <c r="S870" s="7"/>
      <c r="U870" s="7"/>
      <c r="W870" s="7"/>
    </row>
    <row r="871">
      <c r="E871" s="62"/>
      <c r="F871" s="7"/>
      <c r="G871" s="7"/>
      <c r="I871" s="7"/>
      <c r="K871" s="62"/>
      <c r="L871" s="7"/>
      <c r="M871" s="7"/>
      <c r="O871" s="7"/>
      <c r="Q871" s="7"/>
      <c r="S871" s="7"/>
      <c r="U871" s="7"/>
      <c r="W871" s="7"/>
    </row>
    <row r="872">
      <c r="E872" s="62"/>
      <c r="F872" s="7"/>
      <c r="G872" s="7"/>
      <c r="I872" s="7"/>
      <c r="K872" s="62"/>
      <c r="L872" s="7"/>
      <c r="M872" s="7"/>
      <c r="O872" s="7"/>
      <c r="Q872" s="7"/>
      <c r="S872" s="7"/>
      <c r="U872" s="7"/>
      <c r="W872" s="7"/>
    </row>
    <row r="873">
      <c r="E873" s="62"/>
      <c r="F873" s="7"/>
      <c r="G873" s="7"/>
      <c r="I873" s="7"/>
      <c r="K873" s="62"/>
      <c r="L873" s="7"/>
      <c r="M873" s="7"/>
      <c r="O873" s="7"/>
      <c r="Q873" s="7"/>
      <c r="S873" s="7"/>
      <c r="U873" s="7"/>
      <c r="W873" s="7"/>
    </row>
    <row r="874">
      <c r="E874" s="62"/>
      <c r="F874" s="7"/>
      <c r="G874" s="7"/>
      <c r="I874" s="7"/>
      <c r="K874" s="62"/>
      <c r="L874" s="7"/>
      <c r="M874" s="7"/>
      <c r="O874" s="7"/>
      <c r="Q874" s="7"/>
      <c r="S874" s="7"/>
      <c r="U874" s="7"/>
      <c r="W874" s="7"/>
    </row>
    <row r="875">
      <c r="E875" s="62"/>
      <c r="F875" s="7"/>
      <c r="G875" s="7"/>
      <c r="I875" s="7"/>
      <c r="K875" s="62"/>
      <c r="L875" s="7"/>
      <c r="M875" s="7"/>
      <c r="O875" s="7"/>
      <c r="Q875" s="7"/>
      <c r="S875" s="7"/>
      <c r="U875" s="7"/>
      <c r="W875" s="7"/>
    </row>
    <row r="876">
      <c r="E876" s="62"/>
      <c r="F876" s="7"/>
      <c r="G876" s="7"/>
      <c r="I876" s="7"/>
      <c r="K876" s="62"/>
      <c r="L876" s="7"/>
      <c r="M876" s="7"/>
      <c r="O876" s="7"/>
      <c r="Q876" s="7"/>
      <c r="S876" s="7"/>
      <c r="U876" s="7"/>
      <c r="W876" s="7"/>
    </row>
    <row r="877">
      <c r="E877" s="62"/>
      <c r="F877" s="7"/>
      <c r="G877" s="7"/>
      <c r="I877" s="7"/>
      <c r="K877" s="62"/>
      <c r="L877" s="7"/>
      <c r="M877" s="7"/>
      <c r="O877" s="7"/>
      <c r="Q877" s="7"/>
      <c r="S877" s="7"/>
      <c r="U877" s="7"/>
      <c r="W877" s="7"/>
    </row>
    <row r="878">
      <c r="E878" s="62"/>
      <c r="F878" s="7"/>
      <c r="G878" s="7"/>
      <c r="I878" s="7"/>
      <c r="K878" s="62"/>
      <c r="L878" s="7"/>
      <c r="M878" s="7"/>
      <c r="O878" s="7"/>
      <c r="Q878" s="7"/>
      <c r="S878" s="7"/>
      <c r="U878" s="7"/>
      <c r="W878" s="7"/>
    </row>
    <row r="879">
      <c r="E879" s="62"/>
      <c r="F879" s="7"/>
      <c r="G879" s="7"/>
      <c r="I879" s="7"/>
      <c r="K879" s="62"/>
      <c r="L879" s="7"/>
      <c r="M879" s="7"/>
      <c r="O879" s="7"/>
      <c r="Q879" s="7"/>
      <c r="S879" s="7"/>
      <c r="U879" s="7"/>
      <c r="W879" s="7"/>
    </row>
    <row r="880">
      <c r="E880" s="62"/>
      <c r="F880" s="7"/>
      <c r="G880" s="7"/>
      <c r="I880" s="7"/>
      <c r="K880" s="62"/>
      <c r="L880" s="7"/>
      <c r="M880" s="7"/>
      <c r="O880" s="7"/>
      <c r="Q880" s="7"/>
      <c r="S880" s="7"/>
      <c r="U880" s="7"/>
      <c r="W880" s="7"/>
    </row>
    <row r="881">
      <c r="E881" s="62"/>
      <c r="F881" s="7"/>
      <c r="G881" s="7"/>
      <c r="I881" s="7"/>
      <c r="K881" s="62"/>
      <c r="L881" s="7"/>
      <c r="M881" s="7"/>
      <c r="O881" s="7"/>
      <c r="Q881" s="7"/>
      <c r="S881" s="7"/>
      <c r="U881" s="7"/>
      <c r="W881" s="7"/>
    </row>
    <row r="882">
      <c r="E882" s="62"/>
      <c r="F882" s="7"/>
      <c r="G882" s="7"/>
      <c r="I882" s="7"/>
      <c r="K882" s="62"/>
      <c r="L882" s="7"/>
      <c r="M882" s="7"/>
      <c r="O882" s="7"/>
      <c r="Q882" s="7"/>
      <c r="S882" s="7"/>
      <c r="U882" s="7"/>
      <c r="W882" s="7"/>
    </row>
    <row r="883">
      <c r="E883" s="62"/>
      <c r="F883" s="7"/>
      <c r="G883" s="7"/>
      <c r="I883" s="7"/>
      <c r="K883" s="62"/>
      <c r="L883" s="7"/>
      <c r="M883" s="7"/>
      <c r="O883" s="7"/>
      <c r="Q883" s="7"/>
      <c r="S883" s="7"/>
      <c r="U883" s="7"/>
      <c r="W883" s="7"/>
    </row>
    <row r="884">
      <c r="E884" s="62"/>
      <c r="F884" s="7"/>
      <c r="G884" s="7"/>
      <c r="I884" s="7"/>
      <c r="K884" s="62"/>
      <c r="L884" s="7"/>
      <c r="M884" s="7"/>
      <c r="O884" s="7"/>
      <c r="Q884" s="7"/>
      <c r="S884" s="7"/>
      <c r="U884" s="7"/>
      <c r="W884" s="7"/>
    </row>
    <row r="885">
      <c r="E885" s="62"/>
      <c r="F885" s="7"/>
      <c r="G885" s="7"/>
      <c r="I885" s="7"/>
      <c r="K885" s="62"/>
      <c r="L885" s="7"/>
      <c r="M885" s="7"/>
      <c r="O885" s="7"/>
      <c r="Q885" s="7"/>
      <c r="S885" s="7"/>
      <c r="U885" s="7"/>
      <c r="W885" s="7"/>
    </row>
    <row r="886">
      <c r="E886" s="62"/>
      <c r="F886" s="7"/>
      <c r="G886" s="7"/>
      <c r="I886" s="7"/>
      <c r="K886" s="62"/>
      <c r="L886" s="7"/>
      <c r="M886" s="7"/>
      <c r="O886" s="7"/>
      <c r="Q886" s="7"/>
      <c r="S886" s="7"/>
      <c r="U886" s="7"/>
      <c r="W886" s="7"/>
    </row>
    <row r="887">
      <c r="E887" s="62"/>
      <c r="F887" s="7"/>
      <c r="G887" s="7"/>
      <c r="I887" s="7"/>
      <c r="K887" s="62"/>
      <c r="L887" s="7"/>
      <c r="M887" s="7"/>
      <c r="O887" s="7"/>
      <c r="Q887" s="7"/>
      <c r="S887" s="7"/>
      <c r="U887" s="7"/>
      <c r="W887" s="7"/>
    </row>
    <row r="888">
      <c r="E888" s="62"/>
      <c r="F888" s="7"/>
      <c r="G888" s="7"/>
      <c r="I888" s="7"/>
      <c r="K888" s="62"/>
      <c r="L888" s="7"/>
      <c r="M888" s="7"/>
      <c r="O888" s="7"/>
      <c r="Q888" s="7"/>
      <c r="S888" s="7"/>
      <c r="U888" s="7"/>
      <c r="W888" s="7"/>
    </row>
    <row r="889">
      <c r="E889" s="62"/>
      <c r="F889" s="7"/>
      <c r="G889" s="7"/>
      <c r="I889" s="7"/>
      <c r="K889" s="62"/>
      <c r="L889" s="7"/>
      <c r="M889" s="7"/>
      <c r="O889" s="7"/>
      <c r="Q889" s="7"/>
      <c r="S889" s="7"/>
      <c r="U889" s="7"/>
      <c r="W889" s="7"/>
    </row>
    <row r="890">
      <c r="E890" s="62"/>
      <c r="F890" s="7"/>
      <c r="G890" s="7"/>
      <c r="I890" s="7"/>
      <c r="K890" s="62"/>
      <c r="L890" s="7"/>
      <c r="M890" s="7"/>
      <c r="O890" s="7"/>
      <c r="Q890" s="7"/>
      <c r="S890" s="7"/>
      <c r="U890" s="7"/>
      <c r="W890" s="7"/>
    </row>
    <row r="891">
      <c r="E891" s="62"/>
      <c r="F891" s="7"/>
      <c r="G891" s="7"/>
      <c r="I891" s="7"/>
      <c r="K891" s="62"/>
      <c r="L891" s="7"/>
      <c r="M891" s="7"/>
      <c r="O891" s="7"/>
      <c r="Q891" s="7"/>
      <c r="S891" s="7"/>
      <c r="U891" s="7"/>
      <c r="W891" s="7"/>
    </row>
    <row r="892">
      <c r="E892" s="62"/>
      <c r="F892" s="7"/>
      <c r="G892" s="7"/>
      <c r="I892" s="7"/>
      <c r="K892" s="62"/>
      <c r="L892" s="7"/>
      <c r="M892" s="7"/>
      <c r="O892" s="7"/>
      <c r="Q892" s="7"/>
      <c r="S892" s="7"/>
      <c r="U892" s="7"/>
      <c r="W892" s="7"/>
    </row>
    <row r="893">
      <c r="E893" s="62"/>
      <c r="F893" s="7"/>
      <c r="G893" s="7"/>
      <c r="I893" s="7"/>
      <c r="K893" s="62"/>
      <c r="L893" s="7"/>
      <c r="M893" s="7"/>
      <c r="O893" s="7"/>
      <c r="Q893" s="7"/>
      <c r="S893" s="7"/>
      <c r="U893" s="7"/>
      <c r="W893" s="7"/>
    </row>
    <row r="894">
      <c r="E894" s="62"/>
      <c r="F894" s="7"/>
      <c r="G894" s="7"/>
      <c r="I894" s="7"/>
      <c r="K894" s="62"/>
      <c r="L894" s="7"/>
      <c r="M894" s="7"/>
      <c r="O894" s="7"/>
      <c r="Q894" s="7"/>
      <c r="S894" s="7"/>
      <c r="U894" s="7"/>
      <c r="W894" s="7"/>
    </row>
    <row r="895">
      <c r="E895" s="62"/>
      <c r="F895" s="7"/>
      <c r="G895" s="7"/>
      <c r="I895" s="7"/>
      <c r="K895" s="62"/>
      <c r="L895" s="7"/>
      <c r="M895" s="7"/>
      <c r="O895" s="7"/>
      <c r="Q895" s="7"/>
      <c r="S895" s="7"/>
      <c r="U895" s="7"/>
      <c r="W895" s="7"/>
    </row>
    <row r="896">
      <c r="E896" s="62"/>
      <c r="F896" s="7"/>
      <c r="G896" s="7"/>
      <c r="I896" s="7"/>
      <c r="K896" s="62"/>
      <c r="L896" s="7"/>
      <c r="M896" s="7"/>
      <c r="O896" s="7"/>
      <c r="Q896" s="7"/>
      <c r="S896" s="7"/>
      <c r="U896" s="7"/>
      <c r="W896" s="7"/>
    </row>
    <row r="897">
      <c r="E897" s="62"/>
      <c r="F897" s="7"/>
      <c r="G897" s="7"/>
      <c r="I897" s="7"/>
      <c r="K897" s="62"/>
      <c r="L897" s="7"/>
      <c r="M897" s="7"/>
      <c r="O897" s="7"/>
      <c r="Q897" s="7"/>
      <c r="S897" s="7"/>
      <c r="U897" s="7"/>
      <c r="W897" s="7"/>
    </row>
    <row r="898">
      <c r="E898" s="62"/>
      <c r="F898" s="7"/>
      <c r="G898" s="7"/>
      <c r="I898" s="7"/>
      <c r="K898" s="62"/>
      <c r="L898" s="7"/>
      <c r="M898" s="7"/>
      <c r="O898" s="7"/>
      <c r="Q898" s="7"/>
      <c r="S898" s="7"/>
      <c r="U898" s="7"/>
      <c r="W898" s="7"/>
    </row>
    <row r="899">
      <c r="E899" s="62"/>
      <c r="F899" s="7"/>
      <c r="G899" s="7"/>
      <c r="I899" s="7"/>
      <c r="K899" s="62"/>
      <c r="L899" s="7"/>
      <c r="M899" s="7"/>
      <c r="O899" s="7"/>
      <c r="Q899" s="7"/>
      <c r="S899" s="7"/>
      <c r="U899" s="7"/>
      <c r="W899" s="7"/>
    </row>
    <row r="900">
      <c r="E900" s="62"/>
      <c r="F900" s="7"/>
      <c r="G900" s="7"/>
      <c r="I900" s="7"/>
      <c r="K900" s="62"/>
      <c r="L900" s="7"/>
      <c r="M900" s="7"/>
      <c r="O900" s="7"/>
      <c r="Q900" s="7"/>
      <c r="S900" s="7"/>
      <c r="U900" s="7"/>
      <c r="W900" s="7"/>
    </row>
    <row r="901">
      <c r="E901" s="62"/>
      <c r="F901" s="7"/>
      <c r="G901" s="7"/>
      <c r="I901" s="7"/>
      <c r="K901" s="62"/>
      <c r="L901" s="7"/>
      <c r="M901" s="7"/>
      <c r="O901" s="7"/>
      <c r="Q901" s="7"/>
      <c r="S901" s="7"/>
      <c r="U901" s="7"/>
      <c r="W901" s="7"/>
    </row>
    <row r="902">
      <c r="E902" s="62"/>
      <c r="F902" s="7"/>
      <c r="G902" s="7"/>
      <c r="I902" s="7"/>
      <c r="K902" s="62"/>
      <c r="L902" s="7"/>
      <c r="M902" s="7"/>
      <c r="O902" s="7"/>
      <c r="Q902" s="7"/>
      <c r="S902" s="7"/>
      <c r="U902" s="7"/>
      <c r="W902" s="7"/>
    </row>
    <row r="903">
      <c r="E903" s="62"/>
      <c r="F903" s="7"/>
      <c r="G903" s="7"/>
      <c r="I903" s="7"/>
      <c r="K903" s="62"/>
      <c r="L903" s="7"/>
      <c r="M903" s="7"/>
      <c r="O903" s="7"/>
      <c r="Q903" s="7"/>
      <c r="S903" s="7"/>
      <c r="U903" s="7"/>
      <c r="W903" s="7"/>
    </row>
    <row r="904">
      <c r="E904" s="62"/>
      <c r="F904" s="7"/>
      <c r="G904" s="7"/>
      <c r="I904" s="7"/>
      <c r="K904" s="62"/>
      <c r="L904" s="7"/>
      <c r="M904" s="7"/>
      <c r="O904" s="7"/>
      <c r="Q904" s="7"/>
      <c r="S904" s="7"/>
      <c r="U904" s="7"/>
      <c r="W904" s="7"/>
    </row>
    <row r="905">
      <c r="E905" s="62"/>
      <c r="F905" s="7"/>
      <c r="G905" s="7"/>
      <c r="I905" s="7"/>
      <c r="K905" s="62"/>
      <c r="L905" s="7"/>
      <c r="M905" s="7"/>
      <c r="O905" s="7"/>
      <c r="Q905" s="7"/>
      <c r="S905" s="7"/>
      <c r="U905" s="7"/>
      <c r="W905" s="7"/>
    </row>
    <row r="906">
      <c r="E906" s="62"/>
      <c r="F906" s="7"/>
      <c r="G906" s="7"/>
      <c r="I906" s="7"/>
      <c r="K906" s="62"/>
      <c r="L906" s="7"/>
      <c r="M906" s="7"/>
      <c r="O906" s="7"/>
      <c r="Q906" s="7"/>
      <c r="S906" s="7"/>
      <c r="U906" s="7"/>
      <c r="W906" s="7"/>
    </row>
    <row r="907">
      <c r="E907" s="62"/>
      <c r="F907" s="7"/>
      <c r="G907" s="7"/>
      <c r="I907" s="7"/>
      <c r="K907" s="62"/>
      <c r="L907" s="7"/>
      <c r="M907" s="7"/>
      <c r="O907" s="7"/>
      <c r="Q907" s="7"/>
      <c r="S907" s="7"/>
      <c r="U907" s="7"/>
      <c r="W907" s="7"/>
    </row>
    <row r="908">
      <c r="E908" s="62"/>
      <c r="F908" s="7"/>
      <c r="G908" s="7"/>
      <c r="I908" s="7"/>
      <c r="K908" s="62"/>
      <c r="L908" s="7"/>
      <c r="M908" s="7"/>
      <c r="O908" s="7"/>
      <c r="Q908" s="7"/>
      <c r="S908" s="7"/>
      <c r="U908" s="7"/>
      <c r="W908" s="7"/>
    </row>
    <row r="909">
      <c r="E909" s="62"/>
      <c r="F909" s="7"/>
      <c r="G909" s="7"/>
      <c r="I909" s="7"/>
      <c r="K909" s="62"/>
      <c r="L909" s="7"/>
      <c r="M909" s="7"/>
      <c r="O909" s="7"/>
      <c r="Q909" s="7"/>
      <c r="S909" s="7"/>
      <c r="U909" s="7"/>
      <c r="W909" s="7"/>
    </row>
    <row r="910">
      <c r="E910" s="62"/>
      <c r="F910" s="7"/>
      <c r="G910" s="7"/>
      <c r="I910" s="7"/>
      <c r="K910" s="62"/>
      <c r="L910" s="7"/>
      <c r="M910" s="7"/>
      <c r="O910" s="7"/>
      <c r="Q910" s="7"/>
      <c r="S910" s="7"/>
      <c r="U910" s="7"/>
      <c r="W910" s="7"/>
    </row>
    <row r="911">
      <c r="E911" s="62"/>
      <c r="F911" s="7"/>
      <c r="G911" s="7"/>
      <c r="I911" s="7"/>
      <c r="K911" s="62"/>
      <c r="L911" s="7"/>
      <c r="M911" s="7"/>
      <c r="O911" s="7"/>
      <c r="Q911" s="7"/>
      <c r="S911" s="7"/>
      <c r="U911" s="7"/>
      <c r="W911" s="7"/>
    </row>
    <row r="912">
      <c r="E912" s="62"/>
      <c r="F912" s="7"/>
      <c r="G912" s="7"/>
      <c r="I912" s="7"/>
      <c r="K912" s="62"/>
      <c r="L912" s="7"/>
      <c r="M912" s="7"/>
      <c r="O912" s="7"/>
      <c r="Q912" s="7"/>
      <c r="S912" s="7"/>
      <c r="U912" s="7"/>
      <c r="W912" s="7"/>
    </row>
    <row r="913">
      <c r="E913" s="62"/>
      <c r="F913" s="7"/>
      <c r="G913" s="7"/>
      <c r="I913" s="7"/>
      <c r="K913" s="62"/>
      <c r="L913" s="7"/>
      <c r="M913" s="7"/>
      <c r="O913" s="7"/>
      <c r="Q913" s="7"/>
      <c r="S913" s="7"/>
      <c r="U913" s="7"/>
      <c r="W913" s="7"/>
    </row>
    <row r="914">
      <c r="E914" s="62"/>
      <c r="F914" s="7"/>
      <c r="G914" s="7"/>
      <c r="I914" s="7"/>
      <c r="K914" s="62"/>
      <c r="L914" s="7"/>
      <c r="M914" s="7"/>
      <c r="O914" s="7"/>
      <c r="Q914" s="7"/>
      <c r="S914" s="7"/>
      <c r="U914" s="7"/>
      <c r="W914" s="7"/>
    </row>
    <row r="915">
      <c r="E915" s="62"/>
      <c r="F915" s="7"/>
      <c r="G915" s="7"/>
      <c r="I915" s="7"/>
      <c r="K915" s="62"/>
      <c r="L915" s="7"/>
      <c r="M915" s="7"/>
      <c r="O915" s="7"/>
      <c r="Q915" s="7"/>
      <c r="S915" s="7"/>
      <c r="U915" s="7"/>
      <c r="W915" s="7"/>
    </row>
    <row r="916">
      <c r="E916" s="62"/>
      <c r="F916" s="7"/>
      <c r="G916" s="7"/>
      <c r="I916" s="7"/>
      <c r="K916" s="62"/>
      <c r="L916" s="7"/>
      <c r="M916" s="7"/>
      <c r="O916" s="7"/>
      <c r="Q916" s="7"/>
      <c r="S916" s="7"/>
      <c r="U916" s="7"/>
      <c r="W916" s="7"/>
    </row>
    <row r="917">
      <c r="E917" s="62"/>
      <c r="F917" s="7"/>
      <c r="G917" s="7"/>
      <c r="I917" s="7"/>
      <c r="K917" s="62"/>
      <c r="L917" s="7"/>
      <c r="M917" s="7"/>
      <c r="O917" s="7"/>
      <c r="Q917" s="7"/>
      <c r="S917" s="7"/>
      <c r="U917" s="7"/>
      <c r="W917" s="7"/>
    </row>
    <row r="918">
      <c r="E918" s="62"/>
      <c r="F918" s="7"/>
      <c r="G918" s="7"/>
      <c r="I918" s="7"/>
      <c r="K918" s="62"/>
      <c r="L918" s="7"/>
      <c r="M918" s="7"/>
      <c r="O918" s="7"/>
      <c r="Q918" s="7"/>
      <c r="S918" s="7"/>
      <c r="U918" s="7"/>
      <c r="W918" s="7"/>
    </row>
    <row r="919">
      <c r="E919" s="62"/>
      <c r="F919" s="7"/>
      <c r="G919" s="7"/>
      <c r="I919" s="7"/>
      <c r="K919" s="62"/>
      <c r="L919" s="7"/>
      <c r="M919" s="7"/>
      <c r="O919" s="7"/>
      <c r="Q919" s="7"/>
      <c r="S919" s="7"/>
      <c r="U919" s="7"/>
      <c r="W919" s="7"/>
    </row>
    <row r="920">
      <c r="E920" s="62"/>
      <c r="F920" s="7"/>
      <c r="G920" s="7"/>
      <c r="I920" s="7"/>
      <c r="K920" s="62"/>
      <c r="L920" s="7"/>
      <c r="M920" s="7"/>
      <c r="O920" s="7"/>
      <c r="Q920" s="7"/>
      <c r="S920" s="7"/>
      <c r="U920" s="7"/>
      <c r="W920" s="7"/>
    </row>
    <row r="921">
      <c r="E921" s="62"/>
      <c r="F921" s="7"/>
      <c r="G921" s="7"/>
      <c r="I921" s="7"/>
      <c r="K921" s="62"/>
      <c r="L921" s="7"/>
      <c r="M921" s="7"/>
      <c r="O921" s="7"/>
      <c r="Q921" s="7"/>
      <c r="S921" s="7"/>
      <c r="U921" s="7"/>
      <c r="W921" s="7"/>
    </row>
    <row r="922">
      <c r="E922" s="62"/>
      <c r="F922" s="7"/>
      <c r="G922" s="7"/>
      <c r="I922" s="7"/>
      <c r="K922" s="62"/>
      <c r="L922" s="7"/>
      <c r="M922" s="7"/>
      <c r="O922" s="7"/>
      <c r="Q922" s="7"/>
      <c r="S922" s="7"/>
      <c r="U922" s="7"/>
      <c r="W922" s="7"/>
    </row>
    <row r="923">
      <c r="E923" s="62"/>
      <c r="F923" s="7"/>
      <c r="G923" s="7"/>
      <c r="I923" s="7"/>
      <c r="K923" s="62"/>
      <c r="L923" s="7"/>
      <c r="M923" s="7"/>
      <c r="O923" s="7"/>
      <c r="Q923" s="7"/>
      <c r="S923" s="7"/>
      <c r="U923" s="7"/>
      <c r="W923" s="7"/>
    </row>
    <row r="924">
      <c r="E924" s="62"/>
      <c r="F924" s="7"/>
      <c r="G924" s="7"/>
      <c r="I924" s="7"/>
      <c r="K924" s="62"/>
      <c r="L924" s="7"/>
      <c r="M924" s="7"/>
      <c r="O924" s="7"/>
      <c r="Q924" s="7"/>
      <c r="S924" s="7"/>
      <c r="U924" s="7"/>
      <c r="W924" s="7"/>
    </row>
    <row r="925">
      <c r="E925" s="62"/>
      <c r="F925" s="7"/>
      <c r="G925" s="7"/>
      <c r="I925" s="7"/>
      <c r="K925" s="62"/>
      <c r="L925" s="7"/>
      <c r="M925" s="7"/>
      <c r="O925" s="7"/>
      <c r="Q925" s="7"/>
      <c r="S925" s="7"/>
      <c r="U925" s="7"/>
      <c r="W925" s="7"/>
    </row>
    <row r="926">
      <c r="E926" s="62"/>
      <c r="F926" s="7"/>
      <c r="G926" s="7"/>
      <c r="I926" s="7"/>
      <c r="K926" s="62"/>
      <c r="L926" s="7"/>
      <c r="M926" s="7"/>
      <c r="O926" s="7"/>
      <c r="Q926" s="7"/>
      <c r="S926" s="7"/>
      <c r="U926" s="7"/>
      <c r="W926" s="7"/>
    </row>
    <row r="927">
      <c r="E927" s="62"/>
      <c r="F927" s="7"/>
      <c r="G927" s="7"/>
      <c r="I927" s="7"/>
      <c r="K927" s="62"/>
      <c r="L927" s="7"/>
      <c r="M927" s="7"/>
      <c r="O927" s="7"/>
      <c r="Q927" s="7"/>
      <c r="S927" s="7"/>
      <c r="U927" s="7"/>
      <c r="W927" s="7"/>
    </row>
    <row r="928">
      <c r="E928" s="62"/>
      <c r="F928" s="7"/>
      <c r="G928" s="7"/>
      <c r="I928" s="7"/>
      <c r="K928" s="62"/>
      <c r="L928" s="7"/>
      <c r="M928" s="7"/>
      <c r="O928" s="7"/>
      <c r="Q928" s="7"/>
      <c r="S928" s="7"/>
      <c r="U928" s="7"/>
      <c r="W928" s="7"/>
    </row>
    <row r="929">
      <c r="E929" s="62"/>
      <c r="F929" s="7"/>
      <c r="G929" s="7"/>
      <c r="I929" s="7"/>
      <c r="K929" s="62"/>
      <c r="L929" s="7"/>
      <c r="M929" s="7"/>
      <c r="O929" s="7"/>
      <c r="Q929" s="7"/>
      <c r="S929" s="7"/>
      <c r="U929" s="7"/>
      <c r="W929" s="7"/>
    </row>
    <row r="930">
      <c r="E930" s="62"/>
      <c r="F930" s="7"/>
      <c r="G930" s="7"/>
      <c r="I930" s="7"/>
      <c r="K930" s="62"/>
      <c r="L930" s="7"/>
      <c r="M930" s="7"/>
      <c r="O930" s="7"/>
      <c r="Q930" s="7"/>
      <c r="S930" s="7"/>
      <c r="U930" s="7"/>
      <c r="W930" s="7"/>
    </row>
    <row r="931">
      <c r="E931" s="62"/>
      <c r="F931" s="7"/>
      <c r="G931" s="7"/>
      <c r="I931" s="7"/>
      <c r="K931" s="62"/>
      <c r="L931" s="7"/>
      <c r="M931" s="7"/>
      <c r="O931" s="7"/>
      <c r="Q931" s="7"/>
      <c r="S931" s="7"/>
      <c r="U931" s="7"/>
      <c r="W931" s="7"/>
    </row>
    <row r="932">
      <c r="E932" s="62"/>
      <c r="F932" s="7"/>
      <c r="G932" s="7"/>
      <c r="I932" s="7"/>
      <c r="K932" s="62"/>
      <c r="L932" s="7"/>
      <c r="M932" s="7"/>
      <c r="O932" s="7"/>
      <c r="Q932" s="7"/>
      <c r="S932" s="7"/>
      <c r="U932" s="7"/>
      <c r="W932" s="7"/>
    </row>
    <row r="933">
      <c r="E933" s="62"/>
      <c r="F933" s="7"/>
      <c r="G933" s="7"/>
      <c r="I933" s="7"/>
      <c r="K933" s="62"/>
      <c r="L933" s="7"/>
      <c r="M933" s="7"/>
      <c r="O933" s="7"/>
      <c r="Q933" s="7"/>
      <c r="S933" s="7"/>
      <c r="U933" s="7"/>
      <c r="W933" s="7"/>
    </row>
    <row r="934">
      <c r="E934" s="62"/>
      <c r="F934" s="7"/>
      <c r="G934" s="7"/>
      <c r="I934" s="7"/>
      <c r="K934" s="62"/>
      <c r="L934" s="7"/>
      <c r="M934" s="7"/>
      <c r="O934" s="7"/>
      <c r="Q934" s="7"/>
      <c r="S934" s="7"/>
      <c r="U934" s="7"/>
      <c r="W934" s="7"/>
    </row>
    <row r="935">
      <c r="E935" s="62"/>
      <c r="F935" s="7"/>
      <c r="G935" s="7"/>
      <c r="I935" s="7"/>
      <c r="K935" s="62"/>
      <c r="L935" s="7"/>
      <c r="M935" s="7"/>
      <c r="O935" s="7"/>
      <c r="Q935" s="7"/>
      <c r="S935" s="7"/>
      <c r="U935" s="7"/>
      <c r="W935" s="7"/>
    </row>
    <row r="936">
      <c r="E936" s="62"/>
      <c r="F936" s="7"/>
      <c r="G936" s="7"/>
      <c r="I936" s="7"/>
      <c r="K936" s="62"/>
      <c r="L936" s="7"/>
      <c r="M936" s="7"/>
      <c r="O936" s="7"/>
      <c r="Q936" s="7"/>
      <c r="S936" s="7"/>
      <c r="U936" s="7"/>
      <c r="W936" s="7"/>
    </row>
    <row r="937">
      <c r="E937" s="62"/>
      <c r="F937" s="7"/>
      <c r="G937" s="7"/>
      <c r="I937" s="7"/>
      <c r="K937" s="62"/>
      <c r="L937" s="7"/>
      <c r="M937" s="7"/>
      <c r="O937" s="7"/>
      <c r="Q937" s="7"/>
      <c r="S937" s="7"/>
      <c r="U937" s="7"/>
      <c r="W937" s="7"/>
    </row>
    <row r="938">
      <c r="E938" s="62"/>
      <c r="F938" s="7"/>
      <c r="G938" s="7"/>
      <c r="I938" s="7"/>
      <c r="K938" s="62"/>
      <c r="L938" s="7"/>
      <c r="M938" s="7"/>
      <c r="O938" s="7"/>
      <c r="Q938" s="7"/>
      <c r="S938" s="7"/>
      <c r="U938" s="7"/>
      <c r="W938" s="7"/>
    </row>
    <row r="939">
      <c r="E939" s="62"/>
      <c r="F939" s="7"/>
      <c r="G939" s="7"/>
      <c r="I939" s="7"/>
      <c r="K939" s="62"/>
      <c r="L939" s="7"/>
      <c r="M939" s="7"/>
      <c r="O939" s="7"/>
      <c r="Q939" s="7"/>
      <c r="S939" s="7"/>
      <c r="U939" s="7"/>
      <c r="W939" s="7"/>
    </row>
    <row r="940">
      <c r="E940" s="62"/>
      <c r="F940" s="7"/>
      <c r="G940" s="7"/>
      <c r="I940" s="7"/>
      <c r="K940" s="62"/>
      <c r="L940" s="7"/>
      <c r="M940" s="7"/>
      <c r="O940" s="7"/>
      <c r="Q940" s="7"/>
      <c r="S940" s="7"/>
      <c r="U940" s="7"/>
      <c r="W940" s="7"/>
    </row>
    <row r="941">
      <c r="E941" s="62"/>
      <c r="F941" s="7"/>
      <c r="G941" s="7"/>
      <c r="I941" s="7"/>
      <c r="K941" s="62"/>
      <c r="L941" s="7"/>
      <c r="M941" s="7"/>
      <c r="O941" s="7"/>
      <c r="Q941" s="7"/>
      <c r="S941" s="7"/>
      <c r="U941" s="7"/>
      <c r="W941" s="7"/>
    </row>
    <row r="942">
      <c r="E942" s="62"/>
      <c r="F942" s="7"/>
      <c r="G942" s="7"/>
      <c r="I942" s="7"/>
      <c r="K942" s="62"/>
      <c r="L942" s="7"/>
      <c r="M942" s="7"/>
      <c r="O942" s="7"/>
      <c r="Q942" s="7"/>
      <c r="S942" s="7"/>
      <c r="U942" s="7"/>
      <c r="W942" s="7"/>
    </row>
    <row r="943">
      <c r="E943" s="62"/>
      <c r="F943" s="7"/>
      <c r="G943" s="7"/>
      <c r="I943" s="7"/>
      <c r="K943" s="62"/>
      <c r="L943" s="7"/>
      <c r="M943" s="7"/>
      <c r="O943" s="7"/>
      <c r="Q943" s="7"/>
      <c r="S943" s="7"/>
      <c r="U943" s="7"/>
      <c r="W943" s="7"/>
    </row>
    <row r="944">
      <c r="E944" s="62"/>
      <c r="F944" s="7"/>
      <c r="G944" s="7"/>
      <c r="I944" s="7"/>
      <c r="K944" s="62"/>
      <c r="L944" s="7"/>
      <c r="M944" s="7"/>
      <c r="O944" s="7"/>
      <c r="Q944" s="7"/>
      <c r="S944" s="7"/>
      <c r="U944" s="7"/>
      <c r="W944" s="7"/>
    </row>
    <row r="945">
      <c r="E945" s="62"/>
      <c r="F945" s="7"/>
      <c r="G945" s="7"/>
      <c r="I945" s="7"/>
      <c r="K945" s="62"/>
      <c r="L945" s="7"/>
      <c r="M945" s="7"/>
      <c r="O945" s="7"/>
      <c r="Q945" s="7"/>
      <c r="S945" s="7"/>
      <c r="U945" s="7"/>
      <c r="W945" s="7"/>
    </row>
    <row r="946">
      <c r="E946" s="62"/>
      <c r="F946" s="7"/>
      <c r="G946" s="7"/>
      <c r="I946" s="7"/>
      <c r="K946" s="62"/>
      <c r="L946" s="7"/>
      <c r="M946" s="7"/>
      <c r="O946" s="7"/>
      <c r="Q946" s="7"/>
      <c r="S946" s="7"/>
      <c r="U946" s="7"/>
      <c r="W946" s="7"/>
    </row>
    <row r="947">
      <c r="E947" s="62"/>
      <c r="F947" s="7"/>
      <c r="G947" s="7"/>
      <c r="I947" s="7"/>
      <c r="K947" s="62"/>
      <c r="L947" s="7"/>
      <c r="M947" s="7"/>
      <c r="O947" s="7"/>
      <c r="Q947" s="7"/>
      <c r="S947" s="7"/>
      <c r="U947" s="7"/>
      <c r="W947" s="7"/>
    </row>
    <row r="948">
      <c r="E948" s="62"/>
      <c r="F948" s="7"/>
      <c r="G948" s="7"/>
      <c r="I948" s="7"/>
      <c r="K948" s="62"/>
      <c r="L948" s="7"/>
      <c r="M948" s="7"/>
      <c r="O948" s="7"/>
      <c r="Q948" s="7"/>
      <c r="S948" s="7"/>
      <c r="U948" s="7"/>
      <c r="W948" s="7"/>
    </row>
    <row r="949">
      <c r="E949" s="62"/>
      <c r="F949" s="7"/>
      <c r="G949" s="7"/>
      <c r="I949" s="7"/>
      <c r="K949" s="62"/>
      <c r="L949" s="7"/>
      <c r="M949" s="7"/>
      <c r="O949" s="7"/>
      <c r="Q949" s="7"/>
      <c r="S949" s="7"/>
      <c r="U949" s="7"/>
      <c r="W949" s="7"/>
    </row>
    <row r="950">
      <c r="E950" s="62"/>
      <c r="F950" s="7"/>
      <c r="G950" s="7"/>
      <c r="I950" s="7"/>
      <c r="K950" s="62"/>
      <c r="L950" s="7"/>
      <c r="M950" s="7"/>
      <c r="O950" s="7"/>
      <c r="Q950" s="7"/>
      <c r="S950" s="7"/>
      <c r="U950" s="7"/>
      <c r="W950" s="7"/>
    </row>
    <row r="951">
      <c r="E951" s="62"/>
      <c r="F951" s="7"/>
      <c r="G951" s="7"/>
      <c r="I951" s="7"/>
      <c r="K951" s="62"/>
      <c r="L951" s="7"/>
      <c r="M951" s="7"/>
      <c r="O951" s="7"/>
      <c r="Q951" s="7"/>
      <c r="S951" s="7"/>
      <c r="U951" s="7"/>
      <c r="W951" s="7"/>
    </row>
    <row r="952">
      <c r="E952" s="62"/>
      <c r="F952" s="7"/>
      <c r="G952" s="7"/>
      <c r="I952" s="7"/>
      <c r="K952" s="62"/>
      <c r="L952" s="7"/>
      <c r="M952" s="7"/>
      <c r="O952" s="7"/>
      <c r="Q952" s="7"/>
      <c r="S952" s="7"/>
      <c r="U952" s="7"/>
      <c r="W952" s="7"/>
    </row>
    <row r="953">
      <c r="E953" s="62"/>
      <c r="F953" s="7"/>
      <c r="G953" s="7"/>
      <c r="I953" s="7"/>
      <c r="K953" s="62"/>
      <c r="L953" s="7"/>
      <c r="M953" s="7"/>
      <c r="O953" s="7"/>
      <c r="Q953" s="7"/>
      <c r="S953" s="7"/>
      <c r="U953" s="7"/>
      <c r="W953" s="7"/>
    </row>
    <row r="954">
      <c r="E954" s="62"/>
      <c r="F954" s="7"/>
      <c r="G954" s="7"/>
      <c r="I954" s="7"/>
      <c r="K954" s="62"/>
      <c r="L954" s="7"/>
      <c r="M954" s="7"/>
      <c r="O954" s="7"/>
      <c r="Q954" s="7"/>
      <c r="S954" s="7"/>
      <c r="U954" s="7"/>
      <c r="W954" s="7"/>
    </row>
    <row r="955">
      <c r="E955" s="62"/>
      <c r="F955" s="7"/>
      <c r="G955" s="7"/>
      <c r="I955" s="7"/>
      <c r="K955" s="62"/>
      <c r="L955" s="7"/>
      <c r="M955" s="7"/>
      <c r="O955" s="7"/>
      <c r="Q955" s="7"/>
      <c r="S955" s="7"/>
      <c r="U955" s="7"/>
      <c r="W955" s="7"/>
    </row>
    <row r="956">
      <c r="E956" s="62"/>
      <c r="F956" s="7"/>
      <c r="G956" s="7"/>
      <c r="I956" s="7"/>
      <c r="K956" s="62"/>
      <c r="L956" s="7"/>
      <c r="M956" s="7"/>
      <c r="O956" s="7"/>
      <c r="Q956" s="7"/>
      <c r="S956" s="7"/>
      <c r="U956" s="7"/>
      <c r="W956" s="7"/>
    </row>
    <row r="957">
      <c r="E957" s="62"/>
      <c r="F957" s="7"/>
      <c r="G957" s="7"/>
      <c r="I957" s="7"/>
      <c r="K957" s="62"/>
      <c r="L957" s="7"/>
      <c r="M957" s="7"/>
      <c r="O957" s="7"/>
      <c r="Q957" s="7"/>
      <c r="S957" s="7"/>
      <c r="U957" s="7"/>
      <c r="W957" s="7"/>
    </row>
    <row r="958">
      <c r="E958" s="62"/>
      <c r="F958" s="7"/>
      <c r="G958" s="7"/>
      <c r="I958" s="7"/>
      <c r="K958" s="62"/>
      <c r="L958" s="7"/>
      <c r="M958" s="7"/>
      <c r="O958" s="7"/>
      <c r="Q958" s="7"/>
      <c r="S958" s="7"/>
      <c r="U958" s="7"/>
      <c r="W958" s="7"/>
    </row>
    <row r="959">
      <c r="E959" s="62"/>
      <c r="F959" s="7"/>
      <c r="G959" s="7"/>
      <c r="I959" s="7"/>
      <c r="K959" s="62"/>
      <c r="L959" s="7"/>
      <c r="M959" s="7"/>
      <c r="O959" s="7"/>
      <c r="Q959" s="7"/>
      <c r="S959" s="7"/>
      <c r="U959" s="7"/>
      <c r="W959" s="7"/>
    </row>
    <row r="960">
      <c r="E960" s="62"/>
      <c r="F960" s="7"/>
      <c r="G960" s="7"/>
      <c r="I960" s="7"/>
      <c r="K960" s="62"/>
      <c r="L960" s="7"/>
      <c r="M960" s="7"/>
      <c r="O960" s="7"/>
      <c r="Q960" s="7"/>
      <c r="S960" s="7"/>
      <c r="U960" s="7"/>
      <c r="W960" s="7"/>
    </row>
    <row r="961">
      <c r="E961" s="62"/>
      <c r="F961" s="7"/>
      <c r="G961" s="7"/>
      <c r="I961" s="7"/>
      <c r="K961" s="62"/>
      <c r="L961" s="7"/>
      <c r="M961" s="7"/>
      <c r="O961" s="7"/>
      <c r="Q961" s="7"/>
      <c r="S961" s="7"/>
      <c r="U961" s="7"/>
      <c r="W961" s="7"/>
    </row>
    <row r="962">
      <c r="E962" s="62"/>
      <c r="F962" s="7"/>
      <c r="G962" s="7"/>
      <c r="I962" s="7"/>
      <c r="K962" s="62"/>
      <c r="L962" s="7"/>
      <c r="M962" s="7"/>
      <c r="O962" s="7"/>
      <c r="Q962" s="7"/>
      <c r="S962" s="7"/>
      <c r="U962" s="7"/>
      <c r="W962" s="7"/>
    </row>
    <row r="963">
      <c r="E963" s="62"/>
      <c r="F963" s="7"/>
      <c r="G963" s="7"/>
      <c r="I963" s="7"/>
      <c r="K963" s="62"/>
      <c r="L963" s="7"/>
      <c r="M963" s="7"/>
      <c r="O963" s="7"/>
      <c r="Q963" s="7"/>
      <c r="S963" s="7"/>
      <c r="U963" s="7"/>
      <c r="W963" s="7"/>
    </row>
    <row r="964">
      <c r="E964" s="62"/>
      <c r="F964" s="7"/>
      <c r="G964" s="7"/>
      <c r="I964" s="7"/>
      <c r="K964" s="62"/>
      <c r="L964" s="7"/>
      <c r="M964" s="7"/>
      <c r="O964" s="7"/>
      <c r="Q964" s="7"/>
      <c r="S964" s="7"/>
      <c r="U964" s="7"/>
      <c r="W964" s="7"/>
    </row>
    <row r="965">
      <c r="E965" s="62"/>
      <c r="F965" s="7"/>
      <c r="G965" s="7"/>
      <c r="I965" s="7"/>
      <c r="K965" s="62"/>
      <c r="L965" s="7"/>
      <c r="M965" s="7"/>
      <c r="O965" s="7"/>
      <c r="Q965" s="7"/>
      <c r="S965" s="7"/>
      <c r="U965" s="7"/>
      <c r="W965" s="7"/>
    </row>
    <row r="966">
      <c r="E966" s="62"/>
      <c r="F966" s="7"/>
      <c r="G966" s="7"/>
      <c r="I966" s="7"/>
      <c r="K966" s="62"/>
      <c r="L966" s="7"/>
      <c r="M966" s="7"/>
      <c r="O966" s="7"/>
      <c r="Q966" s="7"/>
      <c r="S966" s="7"/>
      <c r="U966" s="7"/>
      <c r="W966" s="7"/>
    </row>
    <row r="967">
      <c r="E967" s="62"/>
      <c r="F967" s="7"/>
      <c r="G967" s="7"/>
      <c r="I967" s="7"/>
      <c r="K967" s="62"/>
      <c r="L967" s="7"/>
      <c r="M967" s="7"/>
      <c r="O967" s="7"/>
      <c r="Q967" s="7"/>
      <c r="S967" s="7"/>
      <c r="U967" s="7"/>
      <c r="W967" s="7"/>
    </row>
    <row r="968">
      <c r="E968" s="62"/>
      <c r="F968" s="7"/>
      <c r="G968" s="7"/>
      <c r="I968" s="7"/>
      <c r="K968" s="62"/>
      <c r="L968" s="7"/>
      <c r="M968" s="7"/>
      <c r="O968" s="7"/>
      <c r="Q968" s="7"/>
      <c r="S968" s="7"/>
      <c r="U968" s="7"/>
      <c r="W968" s="7"/>
    </row>
    <row r="969">
      <c r="E969" s="62"/>
      <c r="F969" s="7"/>
      <c r="G969" s="7"/>
      <c r="I969" s="7"/>
      <c r="K969" s="62"/>
      <c r="L969" s="7"/>
      <c r="M969" s="7"/>
      <c r="O969" s="7"/>
      <c r="Q969" s="7"/>
      <c r="S969" s="7"/>
      <c r="U969" s="7"/>
      <c r="W969" s="7"/>
    </row>
    <row r="970">
      <c r="E970" s="62"/>
      <c r="F970" s="7"/>
      <c r="G970" s="7"/>
      <c r="I970" s="7"/>
      <c r="K970" s="62"/>
      <c r="L970" s="7"/>
      <c r="M970" s="7"/>
      <c r="O970" s="7"/>
      <c r="Q970" s="7"/>
      <c r="S970" s="7"/>
      <c r="U970" s="7"/>
      <c r="W970" s="7"/>
    </row>
    <row r="971">
      <c r="E971" s="62"/>
      <c r="F971" s="7"/>
      <c r="G971" s="7"/>
      <c r="I971" s="7"/>
      <c r="K971" s="62"/>
      <c r="L971" s="7"/>
      <c r="M971" s="7"/>
      <c r="O971" s="7"/>
      <c r="Q971" s="7"/>
      <c r="S971" s="7"/>
      <c r="U971" s="7"/>
      <c r="W971" s="7"/>
    </row>
    <row r="972">
      <c r="E972" s="62"/>
      <c r="F972" s="7"/>
      <c r="G972" s="7"/>
      <c r="I972" s="7"/>
      <c r="K972" s="62"/>
      <c r="L972" s="7"/>
      <c r="M972" s="7"/>
      <c r="O972" s="7"/>
      <c r="Q972" s="7"/>
      <c r="S972" s="7"/>
      <c r="U972" s="7"/>
      <c r="W972" s="7"/>
    </row>
    <row r="973">
      <c r="E973" s="62"/>
      <c r="F973" s="7"/>
      <c r="G973" s="7"/>
      <c r="I973" s="7"/>
      <c r="K973" s="62"/>
      <c r="L973" s="7"/>
      <c r="M973" s="7"/>
      <c r="O973" s="7"/>
      <c r="Q973" s="7"/>
      <c r="S973" s="7"/>
      <c r="U973" s="7"/>
      <c r="W973" s="7"/>
    </row>
    <row r="974">
      <c r="E974" s="62"/>
      <c r="F974" s="7"/>
      <c r="G974" s="7"/>
      <c r="I974" s="7"/>
      <c r="K974" s="62"/>
      <c r="L974" s="7"/>
      <c r="M974" s="7"/>
      <c r="O974" s="7"/>
      <c r="Q974" s="7"/>
      <c r="S974" s="7"/>
      <c r="U974" s="7"/>
      <c r="W974" s="7"/>
    </row>
    <row r="975">
      <c r="E975" s="62"/>
      <c r="F975" s="7"/>
      <c r="G975" s="7"/>
      <c r="I975" s="7"/>
      <c r="K975" s="62"/>
      <c r="L975" s="7"/>
      <c r="M975" s="7"/>
      <c r="O975" s="7"/>
      <c r="Q975" s="7"/>
      <c r="S975" s="7"/>
      <c r="U975" s="7"/>
      <c r="W975" s="7"/>
    </row>
    <row r="976">
      <c r="E976" s="62"/>
      <c r="F976" s="7"/>
      <c r="G976" s="7"/>
      <c r="I976" s="7"/>
      <c r="K976" s="62"/>
      <c r="L976" s="7"/>
      <c r="M976" s="7"/>
      <c r="O976" s="7"/>
      <c r="Q976" s="7"/>
      <c r="S976" s="7"/>
      <c r="U976" s="7"/>
      <c r="W976" s="7"/>
    </row>
    <row r="977">
      <c r="E977" s="62"/>
      <c r="F977" s="7"/>
      <c r="G977" s="7"/>
      <c r="I977" s="7"/>
      <c r="K977" s="62"/>
      <c r="L977" s="7"/>
      <c r="M977" s="7"/>
      <c r="O977" s="7"/>
      <c r="Q977" s="7"/>
      <c r="S977" s="7"/>
      <c r="U977" s="7"/>
      <c r="W977" s="7"/>
    </row>
    <row r="978">
      <c r="E978" s="62"/>
      <c r="F978" s="7"/>
      <c r="G978" s="7"/>
      <c r="I978" s="7"/>
      <c r="K978" s="62"/>
      <c r="L978" s="7"/>
      <c r="M978" s="7"/>
      <c r="O978" s="7"/>
      <c r="Q978" s="7"/>
      <c r="S978" s="7"/>
      <c r="U978" s="7"/>
      <c r="W978" s="7"/>
    </row>
    <row r="979">
      <c r="E979" s="62"/>
      <c r="F979" s="7"/>
      <c r="G979" s="7"/>
      <c r="I979" s="7"/>
      <c r="K979" s="62"/>
      <c r="L979" s="7"/>
      <c r="M979" s="7"/>
      <c r="O979" s="7"/>
      <c r="Q979" s="7"/>
      <c r="S979" s="7"/>
      <c r="U979" s="7"/>
      <c r="W979" s="7"/>
    </row>
    <row r="980">
      <c r="E980" s="62"/>
      <c r="F980" s="7"/>
      <c r="G980" s="7"/>
      <c r="I980" s="7"/>
      <c r="K980" s="62"/>
      <c r="L980" s="7"/>
      <c r="M980" s="7"/>
      <c r="O980" s="7"/>
      <c r="Q980" s="7"/>
      <c r="S980" s="7"/>
      <c r="U980" s="7"/>
      <c r="W980" s="7"/>
    </row>
    <row r="981">
      <c r="E981" s="62"/>
      <c r="F981" s="7"/>
      <c r="G981" s="7"/>
      <c r="I981" s="7"/>
      <c r="K981" s="62"/>
      <c r="L981" s="7"/>
      <c r="M981" s="7"/>
      <c r="O981" s="7"/>
      <c r="Q981" s="7"/>
      <c r="S981" s="7"/>
      <c r="U981" s="7"/>
      <c r="W981" s="7"/>
    </row>
    <row r="982">
      <c r="E982" s="62"/>
      <c r="F982" s="7"/>
      <c r="G982" s="7"/>
      <c r="I982" s="7"/>
      <c r="K982" s="62"/>
      <c r="L982" s="7"/>
      <c r="M982" s="7"/>
      <c r="O982" s="7"/>
      <c r="Q982" s="7"/>
      <c r="S982" s="7"/>
      <c r="U982" s="7"/>
      <c r="W982" s="7"/>
    </row>
    <row r="983">
      <c r="E983" s="62"/>
      <c r="F983" s="7"/>
      <c r="G983" s="7"/>
      <c r="I983" s="7"/>
      <c r="K983" s="62"/>
      <c r="L983" s="7"/>
      <c r="M983" s="7"/>
      <c r="O983" s="7"/>
      <c r="Q983" s="7"/>
      <c r="S983" s="7"/>
      <c r="U983" s="7"/>
      <c r="W983" s="7"/>
    </row>
    <row r="984">
      <c r="E984" s="62"/>
      <c r="F984" s="7"/>
      <c r="G984" s="7"/>
      <c r="I984" s="7"/>
      <c r="K984" s="62"/>
      <c r="L984" s="7"/>
      <c r="M984" s="7"/>
      <c r="O984" s="7"/>
      <c r="Q984" s="7"/>
      <c r="S984" s="7"/>
      <c r="U984" s="7"/>
      <c r="W984" s="7"/>
    </row>
    <row r="985">
      <c r="E985" s="62"/>
      <c r="F985" s="7"/>
      <c r="G985" s="7"/>
      <c r="I985" s="7"/>
      <c r="K985" s="62"/>
      <c r="L985" s="7"/>
      <c r="M985" s="7"/>
      <c r="O985" s="7"/>
      <c r="Q985" s="7"/>
      <c r="S985" s="7"/>
      <c r="U985" s="7"/>
      <c r="W985" s="7"/>
    </row>
    <row r="986">
      <c r="E986" s="62"/>
      <c r="F986" s="7"/>
      <c r="G986" s="7"/>
      <c r="I986" s="7"/>
      <c r="K986" s="62"/>
      <c r="L986" s="7"/>
      <c r="M986" s="7"/>
      <c r="O986" s="7"/>
      <c r="Q986" s="7"/>
      <c r="S986" s="7"/>
      <c r="U986" s="7"/>
      <c r="W986" s="7"/>
    </row>
    <row r="987">
      <c r="E987" s="62"/>
      <c r="F987" s="7"/>
      <c r="G987" s="7"/>
      <c r="I987" s="7"/>
      <c r="K987" s="62"/>
      <c r="L987" s="7"/>
      <c r="M987" s="7"/>
      <c r="O987" s="7"/>
      <c r="Q987" s="7"/>
      <c r="S987" s="7"/>
      <c r="U987" s="7"/>
      <c r="W987" s="7"/>
    </row>
    <row r="988">
      <c r="E988" s="62"/>
      <c r="F988" s="7"/>
      <c r="G988" s="7"/>
      <c r="I988" s="7"/>
      <c r="K988" s="62"/>
      <c r="L988" s="7"/>
      <c r="M988" s="7"/>
      <c r="O988" s="7"/>
      <c r="Q988" s="7"/>
      <c r="S988" s="7"/>
      <c r="U988" s="7"/>
      <c r="W988" s="7"/>
    </row>
    <row r="989">
      <c r="E989" s="62"/>
      <c r="F989" s="7"/>
      <c r="G989" s="7"/>
      <c r="I989" s="7"/>
      <c r="K989" s="62"/>
      <c r="L989" s="7"/>
      <c r="M989" s="7"/>
      <c r="O989" s="7"/>
      <c r="Q989" s="7"/>
      <c r="S989" s="7"/>
      <c r="U989" s="7"/>
      <c r="W989" s="7"/>
    </row>
    <row r="990">
      <c r="E990" s="62"/>
      <c r="F990" s="7"/>
      <c r="G990" s="7"/>
      <c r="I990" s="7"/>
      <c r="K990" s="62"/>
      <c r="L990" s="7"/>
      <c r="M990" s="7"/>
      <c r="O990" s="7"/>
      <c r="Q990" s="7"/>
      <c r="S990" s="7"/>
      <c r="U990" s="7"/>
      <c r="W990" s="7"/>
    </row>
    <row r="991">
      <c r="E991" s="62"/>
      <c r="F991" s="7"/>
      <c r="G991" s="7"/>
      <c r="I991" s="7"/>
      <c r="K991" s="62"/>
      <c r="L991" s="7"/>
      <c r="M991" s="7"/>
      <c r="O991" s="7"/>
      <c r="Q991" s="7"/>
      <c r="S991" s="7"/>
      <c r="U991" s="7"/>
      <c r="W991" s="7"/>
    </row>
    <row r="992">
      <c r="E992" s="62"/>
      <c r="F992" s="7"/>
      <c r="G992" s="7"/>
      <c r="I992" s="7"/>
      <c r="K992" s="62"/>
      <c r="L992" s="7"/>
      <c r="M992" s="7"/>
      <c r="O992" s="7"/>
      <c r="Q992" s="7"/>
      <c r="S992" s="7"/>
      <c r="U992" s="7"/>
      <c r="W992" s="7"/>
    </row>
    <row r="993">
      <c r="E993" s="62"/>
      <c r="F993" s="7"/>
      <c r="G993" s="7"/>
      <c r="I993" s="7"/>
      <c r="K993" s="62"/>
      <c r="L993" s="7"/>
      <c r="M993" s="7"/>
      <c r="O993" s="7"/>
      <c r="Q993" s="7"/>
      <c r="S993" s="7"/>
      <c r="U993" s="7"/>
      <c r="W993" s="7"/>
    </row>
    <row r="994">
      <c r="E994" s="62"/>
      <c r="F994" s="7"/>
      <c r="G994" s="7"/>
      <c r="I994" s="7"/>
      <c r="K994" s="62"/>
      <c r="L994" s="7"/>
      <c r="M994" s="7"/>
      <c r="O994" s="7"/>
      <c r="Q994" s="7"/>
      <c r="S994" s="7"/>
      <c r="U994" s="7"/>
      <c r="W994" s="7"/>
    </row>
    <row r="995">
      <c r="E995" s="62"/>
      <c r="F995" s="7"/>
      <c r="G995" s="7"/>
      <c r="I995" s="7"/>
      <c r="K995" s="62"/>
      <c r="L995" s="7"/>
      <c r="M995" s="7"/>
      <c r="O995" s="7"/>
      <c r="Q995" s="7"/>
      <c r="S995" s="7"/>
      <c r="U995" s="7"/>
      <c r="W995" s="7"/>
    </row>
    <row r="996">
      <c r="E996" s="62"/>
      <c r="F996" s="7"/>
      <c r="G996" s="7"/>
      <c r="I996" s="7"/>
      <c r="K996" s="62"/>
      <c r="L996" s="7"/>
      <c r="M996" s="7"/>
      <c r="O996" s="7"/>
      <c r="Q996" s="7"/>
      <c r="S996" s="7"/>
      <c r="U996" s="7"/>
      <c r="W996" s="7"/>
    </row>
    <row r="997">
      <c r="E997" s="62"/>
      <c r="F997" s="7"/>
      <c r="G997" s="7"/>
      <c r="I997" s="7"/>
      <c r="K997" s="62"/>
      <c r="L997" s="7"/>
      <c r="M997" s="7"/>
      <c r="O997" s="7"/>
      <c r="Q997" s="7"/>
      <c r="S997" s="7"/>
      <c r="U997" s="7"/>
      <c r="W997" s="7"/>
    </row>
    <row r="998">
      <c r="E998" s="62"/>
      <c r="F998" s="7"/>
      <c r="G998" s="7"/>
      <c r="I998" s="7"/>
      <c r="K998" s="62"/>
      <c r="L998" s="7"/>
      <c r="M998" s="7"/>
      <c r="O998" s="7"/>
      <c r="Q998" s="7"/>
      <c r="S998" s="7"/>
      <c r="U998" s="7"/>
      <c r="W998" s="7"/>
    </row>
    <row r="999">
      <c r="E999" s="62"/>
      <c r="F999" s="7"/>
      <c r="G999" s="7"/>
      <c r="I999" s="7"/>
      <c r="K999" s="62"/>
      <c r="L999" s="7"/>
      <c r="M999" s="7"/>
      <c r="O999" s="7"/>
      <c r="Q999" s="7"/>
      <c r="S999" s="7"/>
      <c r="U999" s="7"/>
      <c r="W999" s="7"/>
    </row>
    <row r="1000">
      <c r="E1000" s="62"/>
      <c r="F1000" s="7"/>
      <c r="G1000" s="7"/>
      <c r="I1000" s="7"/>
      <c r="K1000" s="62"/>
      <c r="L1000" s="7"/>
      <c r="M1000" s="7"/>
      <c r="O1000" s="7"/>
      <c r="Q1000" s="7"/>
      <c r="S1000" s="7"/>
      <c r="U1000" s="7"/>
      <c r="W1000" s="7"/>
    </row>
    <row r="1001">
      <c r="E1001" s="62"/>
      <c r="F1001" s="7"/>
      <c r="G1001" s="7"/>
      <c r="I1001" s="7"/>
      <c r="K1001" s="62"/>
      <c r="L1001" s="7"/>
      <c r="M1001" s="7"/>
      <c r="O1001" s="7"/>
      <c r="Q1001" s="7"/>
      <c r="S1001" s="7"/>
      <c r="U1001" s="7"/>
      <c r="W1001" s="7"/>
    </row>
    <row r="1002">
      <c r="E1002" s="62"/>
      <c r="F1002" s="7"/>
      <c r="G1002" s="7"/>
      <c r="I1002" s="7"/>
      <c r="K1002" s="62"/>
      <c r="L1002" s="7"/>
      <c r="M1002" s="7"/>
      <c r="O1002" s="7"/>
      <c r="Q1002" s="7"/>
      <c r="S1002" s="7"/>
      <c r="U1002" s="7"/>
      <c r="W1002" s="7"/>
    </row>
    <row r="1003">
      <c r="E1003" s="62"/>
      <c r="F1003" s="7"/>
      <c r="G1003" s="7"/>
      <c r="I1003" s="7"/>
      <c r="K1003" s="62"/>
      <c r="L1003" s="7"/>
      <c r="M1003" s="7"/>
      <c r="O1003" s="7"/>
      <c r="Q1003" s="7"/>
      <c r="S1003" s="7"/>
      <c r="U1003" s="7"/>
      <c r="W1003" s="7"/>
    </row>
    <row r="1004">
      <c r="E1004" s="62"/>
      <c r="F1004" s="7"/>
      <c r="G1004" s="7"/>
      <c r="I1004" s="7"/>
      <c r="K1004" s="62"/>
      <c r="L1004" s="7"/>
      <c r="M1004" s="7"/>
      <c r="O1004" s="7"/>
      <c r="Q1004" s="7"/>
      <c r="S1004" s="7"/>
      <c r="U1004" s="7"/>
      <c r="W1004" s="7"/>
    </row>
    <row r="1005">
      <c r="E1005" s="62"/>
      <c r="F1005" s="7"/>
      <c r="G1005" s="7"/>
      <c r="I1005" s="7"/>
      <c r="K1005" s="62"/>
      <c r="L1005" s="7"/>
      <c r="M1005" s="7"/>
      <c r="O1005" s="7"/>
      <c r="Q1005" s="7"/>
      <c r="S1005" s="7"/>
      <c r="U1005" s="7"/>
      <c r="W1005" s="7"/>
    </row>
    <row r="1006">
      <c r="E1006" s="62"/>
      <c r="F1006" s="7"/>
      <c r="G1006" s="7"/>
      <c r="I1006" s="7"/>
      <c r="K1006" s="62"/>
      <c r="L1006" s="7"/>
      <c r="M1006" s="7"/>
      <c r="O1006" s="7"/>
      <c r="Q1006" s="7"/>
      <c r="S1006" s="7"/>
      <c r="U1006" s="7"/>
      <c r="W1006" s="7"/>
    </row>
    <row r="1007">
      <c r="E1007" s="62"/>
      <c r="F1007" s="7"/>
      <c r="G1007" s="7"/>
      <c r="I1007" s="7"/>
      <c r="K1007" s="62"/>
      <c r="L1007" s="7"/>
      <c r="M1007" s="7"/>
      <c r="O1007" s="7"/>
      <c r="Q1007" s="7"/>
      <c r="S1007" s="7"/>
      <c r="U1007" s="7"/>
      <c r="W1007" s="7"/>
    </row>
    <row r="1008">
      <c r="E1008" s="62"/>
      <c r="F1008" s="7"/>
      <c r="G1008" s="7"/>
      <c r="I1008" s="7"/>
      <c r="K1008" s="62"/>
      <c r="L1008" s="7"/>
      <c r="M1008" s="7"/>
      <c r="O1008" s="7"/>
      <c r="Q1008" s="7"/>
      <c r="S1008" s="7"/>
      <c r="U1008" s="7"/>
      <c r="W1008" s="7"/>
    </row>
    <row r="1009">
      <c r="E1009" s="62"/>
      <c r="F1009" s="7"/>
      <c r="G1009" s="7"/>
      <c r="I1009" s="7"/>
      <c r="K1009" s="62"/>
      <c r="L1009" s="7"/>
      <c r="M1009" s="7"/>
      <c r="O1009" s="7"/>
      <c r="Q1009" s="7"/>
      <c r="S1009" s="7"/>
      <c r="U1009" s="7"/>
      <c r="W1009" s="7"/>
    </row>
    <row r="1010">
      <c r="E1010" s="62"/>
      <c r="F1010" s="7"/>
      <c r="G1010" s="7"/>
      <c r="I1010" s="7"/>
      <c r="K1010" s="62"/>
      <c r="L1010" s="7"/>
      <c r="M1010" s="7"/>
      <c r="O1010" s="7"/>
      <c r="Q1010" s="7"/>
      <c r="S1010" s="7"/>
      <c r="U1010" s="7"/>
      <c r="W1010" s="7"/>
    </row>
    <row r="1011">
      <c r="E1011" s="62"/>
      <c r="F1011" s="7"/>
      <c r="G1011" s="7"/>
      <c r="I1011" s="7"/>
      <c r="K1011" s="62"/>
      <c r="L1011" s="7"/>
      <c r="M1011" s="7"/>
      <c r="O1011" s="7"/>
      <c r="Q1011" s="7"/>
      <c r="S1011" s="7"/>
      <c r="U1011" s="7"/>
      <c r="W1011" s="7"/>
    </row>
    <row r="1012">
      <c r="E1012" s="62"/>
      <c r="F1012" s="7"/>
      <c r="G1012" s="7"/>
      <c r="I1012" s="7"/>
      <c r="K1012" s="62"/>
      <c r="L1012" s="7"/>
      <c r="M1012" s="7"/>
      <c r="O1012" s="7"/>
      <c r="Q1012" s="7"/>
      <c r="S1012" s="7"/>
      <c r="U1012" s="7"/>
      <c r="W1012" s="7"/>
    </row>
    <row r="1013">
      <c r="E1013" s="62"/>
      <c r="F1013" s="7"/>
      <c r="G1013" s="7"/>
      <c r="I1013" s="7"/>
      <c r="K1013" s="62"/>
      <c r="L1013" s="7"/>
      <c r="M1013" s="7"/>
      <c r="O1013" s="7"/>
      <c r="Q1013" s="7"/>
      <c r="S1013" s="7"/>
      <c r="U1013" s="7"/>
      <c r="W1013" s="7"/>
    </row>
    <row r="1014">
      <c r="E1014" s="62"/>
      <c r="F1014" s="7"/>
      <c r="G1014" s="7"/>
      <c r="I1014" s="7"/>
      <c r="K1014" s="62"/>
      <c r="L1014" s="7"/>
      <c r="M1014" s="7"/>
      <c r="O1014" s="7"/>
      <c r="Q1014" s="7"/>
      <c r="S1014" s="7"/>
      <c r="U1014" s="7"/>
      <c r="W1014" s="7"/>
    </row>
    <row r="1015">
      <c r="E1015" s="62"/>
      <c r="F1015" s="7"/>
      <c r="G1015" s="7"/>
      <c r="I1015" s="7"/>
      <c r="K1015" s="62"/>
      <c r="L1015" s="7"/>
      <c r="M1015" s="7"/>
      <c r="O1015" s="7"/>
      <c r="Q1015" s="7"/>
      <c r="S1015" s="7"/>
      <c r="U1015" s="7"/>
      <c r="W1015" s="7"/>
    </row>
    <row r="1016">
      <c r="E1016" s="62"/>
      <c r="F1016" s="7"/>
      <c r="G1016" s="7"/>
      <c r="I1016" s="7"/>
      <c r="K1016" s="62"/>
      <c r="L1016" s="7"/>
      <c r="M1016" s="7"/>
      <c r="O1016" s="7"/>
      <c r="Q1016" s="7"/>
      <c r="S1016" s="7"/>
      <c r="U1016" s="7"/>
      <c r="W1016" s="7"/>
    </row>
    <row r="1017">
      <c r="E1017" s="62"/>
      <c r="F1017" s="7"/>
      <c r="G1017" s="7"/>
      <c r="I1017" s="7"/>
      <c r="K1017" s="62"/>
      <c r="L1017" s="7"/>
      <c r="M1017" s="7"/>
      <c r="O1017" s="7"/>
      <c r="Q1017" s="7"/>
      <c r="S1017" s="7"/>
      <c r="U1017" s="7"/>
      <c r="W1017" s="7"/>
    </row>
    <row r="1018">
      <c r="E1018" s="62"/>
      <c r="F1018" s="7"/>
      <c r="G1018" s="7"/>
      <c r="I1018" s="7"/>
      <c r="K1018" s="62"/>
      <c r="L1018" s="7"/>
      <c r="M1018" s="7"/>
      <c r="O1018" s="7"/>
      <c r="Q1018" s="7"/>
      <c r="S1018" s="7"/>
      <c r="U1018" s="7"/>
      <c r="W1018" s="7"/>
    </row>
    <row r="1019">
      <c r="E1019" s="62"/>
      <c r="F1019" s="7"/>
      <c r="G1019" s="7"/>
      <c r="I1019" s="7"/>
      <c r="K1019" s="62"/>
      <c r="L1019" s="7"/>
      <c r="M1019" s="7"/>
      <c r="O1019" s="7"/>
      <c r="Q1019" s="7"/>
      <c r="S1019" s="7"/>
      <c r="U1019" s="7"/>
      <c r="W1019" s="7"/>
    </row>
    <row r="1020">
      <c r="E1020" s="62"/>
      <c r="F1020" s="7"/>
      <c r="G1020" s="7"/>
      <c r="I1020" s="7"/>
      <c r="K1020" s="62"/>
      <c r="L1020" s="7"/>
      <c r="M1020" s="7"/>
      <c r="O1020" s="7"/>
      <c r="Q1020" s="7"/>
      <c r="S1020" s="7"/>
      <c r="U1020" s="7"/>
      <c r="W1020" s="7"/>
    </row>
    <row r="1021">
      <c r="E1021" s="62"/>
      <c r="F1021" s="7"/>
      <c r="G1021" s="7"/>
      <c r="I1021" s="7"/>
      <c r="K1021" s="62"/>
      <c r="L1021" s="7"/>
      <c r="M1021" s="7"/>
      <c r="O1021" s="7"/>
      <c r="Q1021" s="7"/>
      <c r="S1021" s="7"/>
      <c r="U1021" s="7"/>
      <c r="W1021" s="7"/>
    </row>
    <row r="1022">
      <c r="E1022" s="62"/>
      <c r="F1022" s="7"/>
      <c r="G1022" s="7"/>
      <c r="I1022" s="7"/>
      <c r="K1022" s="62"/>
      <c r="L1022" s="7"/>
      <c r="M1022" s="7"/>
      <c r="O1022" s="7"/>
      <c r="Q1022" s="7"/>
      <c r="S1022" s="7"/>
      <c r="U1022" s="7"/>
      <c r="W1022" s="7"/>
    </row>
    <row r="1023">
      <c r="E1023" s="62"/>
      <c r="F1023" s="7"/>
      <c r="G1023" s="7"/>
      <c r="I1023" s="7"/>
      <c r="K1023" s="62"/>
      <c r="L1023" s="7"/>
      <c r="M1023" s="7"/>
      <c r="O1023" s="7"/>
      <c r="Q1023" s="7"/>
      <c r="S1023" s="7"/>
      <c r="U1023" s="7"/>
      <c r="W1023" s="7"/>
    </row>
    <row r="1024">
      <c r="E1024" s="62"/>
      <c r="F1024" s="7"/>
      <c r="G1024" s="7"/>
      <c r="I1024" s="7"/>
      <c r="K1024" s="62"/>
      <c r="L1024" s="7"/>
      <c r="M1024" s="7"/>
      <c r="O1024" s="7"/>
      <c r="Q1024" s="7"/>
      <c r="S1024" s="7"/>
      <c r="U1024" s="7"/>
      <c r="W1024" s="7"/>
    </row>
    <row r="1025">
      <c r="E1025" s="62"/>
      <c r="F1025" s="7"/>
      <c r="G1025" s="7"/>
      <c r="I1025" s="7"/>
      <c r="K1025" s="62"/>
      <c r="L1025" s="7"/>
      <c r="M1025" s="7"/>
      <c r="O1025" s="7"/>
      <c r="Q1025" s="7"/>
      <c r="S1025" s="7"/>
      <c r="U1025" s="7"/>
      <c r="W1025" s="7"/>
    </row>
    <row r="1026">
      <c r="E1026" s="62"/>
      <c r="F1026" s="7"/>
      <c r="G1026" s="7"/>
      <c r="I1026" s="7"/>
      <c r="K1026" s="62"/>
      <c r="L1026" s="7"/>
      <c r="M1026" s="7"/>
      <c r="O1026" s="7"/>
      <c r="Q1026" s="7"/>
      <c r="S1026" s="7"/>
      <c r="U1026" s="7"/>
      <c r="W1026" s="7"/>
    </row>
    <row r="1027">
      <c r="E1027" s="62"/>
      <c r="F1027" s="7"/>
      <c r="G1027" s="7"/>
      <c r="I1027" s="7"/>
      <c r="K1027" s="62"/>
      <c r="L1027" s="7"/>
      <c r="M1027" s="7"/>
      <c r="O1027" s="7"/>
      <c r="Q1027" s="7"/>
      <c r="S1027" s="7"/>
      <c r="U1027" s="7"/>
      <c r="W1027" s="7"/>
    </row>
    <row r="1028">
      <c r="E1028" s="62"/>
      <c r="F1028" s="7"/>
      <c r="G1028" s="7"/>
      <c r="I1028" s="7"/>
      <c r="K1028" s="62"/>
      <c r="L1028" s="7"/>
      <c r="M1028" s="7"/>
      <c r="O1028" s="7"/>
      <c r="Q1028" s="7"/>
      <c r="S1028" s="7"/>
      <c r="U1028" s="7"/>
      <c r="W1028" s="7"/>
    </row>
    <row r="1029">
      <c r="E1029" s="62"/>
      <c r="F1029" s="7"/>
      <c r="G1029" s="7"/>
      <c r="I1029" s="7"/>
      <c r="K1029" s="62"/>
      <c r="L1029" s="7"/>
      <c r="M1029" s="7"/>
      <c r="O1029" s="7"/>
      <c r="Q1029" s="7"/>
      <c r="S1029" s="7"/>
      <c r="U1029" s="7"/>
      <c r="W1029" s="7"/>
    </row>
    <row r="1030">
      <c r="E1030" s="62"/>
      <c r="F1030" s="7"/>
      <c r="G1030" s="7"/>
      <c r="I1030" s="7"/>
      <c r="K1030" s="62"/>
      <c r="L1030" s="7"/>
      <c r="M1030" s="7"/>
      <c r="O1030" s="7"/>
      <c r="Q1030" s="7"/>
      <c r="S1030" s="7"/>
      <c r="U1030" s="7"/>
      <c r="W1030" s="7"/>
    </row>
    <row r="1031">
      <c r="E1031" s="62"/>
      <c r="F1031" s="7"/>
      <c r="G1031" s="7"/>
      <c r="I1031" s="7"/>
      <c r="K1031" s="62"/>
      <c r="L1031" s="7"/>
      <c r="M1031" s="7"/>
      <c r="O1031" s="7"/>
      <c r="Q1031" s="7"/>
      <c r="S1031" s="7"/>
      <c r="U1031" s="7"/>
      <c r="W1031" s="7"/>
    </row>
    <row r="1032">
      <c r="E1032" s="62"/>
      <c r="F1032" s="7"/>
      <c r="G1032" s="7"/>
      <c r="I1032" s="7"/>
      <c r="K1032" s="62"/>
      <c r="L1032" s="7"/>
      <c r="M1032" s="7"/>
      <c r="O1032" s="7"/>
      <c r="Q1032" s="7"/>
      <c r="S1032" s="7"/>
      <c r="U1032" s="7"/>
      <c r="W1032" s="7"/>
    </row>
    <row r="1033">
      <c r="E1033" s="62"/>
      <c r="F1033" s="7"/>
      <c r="G1033" s="7"/>
      <c r="I1033" s="7"/>
      <c r="K1033" s="62"/>
      <c r="L1033" s="7"/>
      <c r="M1033" s="7"/>
      <c r="O1033" s="7"/>
      <c r="Q1033" s="7"/>
      <c r="S1033" s="7"/>
      <c r="U1033" s="7"/>
      <c r="W1033" s="7"/>
    </row>
    <row r="1034">
      <c r="E1034" s="62"/>
      <c r="F1034" s="7"/>
      <c r="G1034" s="7"/>
      <c r="I1034" s="7"/>
      <c r="K1034" s="62"/>
      <c r="L1034" s="7"/>
      <c r="M1034" s="7"/>
      <c r="O1034" s="7"/>
      <c r="Q1034" s="7"/>
      <c r="S1034" s="7"/>
      <c r="U1034" s="7"/>
      <c r="W1034" s="7"/>
    </row>
    <row r="1035">
      <c r="E1035" s="62"/>
      <c r="F1035" s="7"/>
      <c r="G1035" s="7"/>
      <c r="I1035" s="7"/>
      <c r="K1035" s="62"/>
      <c r="L1035" s="7"/>
      <c r="M1035" s="7"/>
      <c r="O1035" s="7"/>
      <c r="Q1035" s="7"/>
      <c r="S1035" s="7"/>
      <c r="U1035" s="7"/>
      <c r="W1035" s="7"/>
    </row>
    <row r="1036">
      <c r="E1036" s="62"/>
      <c r="F1036" s="7"/>
      <c r="G1036" s="7"/>
      <c r="I1036" s="7"/>
      <c r="K1036" s="62"/>
      <c r="L1036" s="7"/>
      <c r="M1036" s="7"/>
      <c r="O1036" s="7"/>
      <c r="Q1036" s="7"/>
      <c r="S1036" s="7"/>
      <c r="U1036" s="7"/>
      <c r="W1036" s="7"/>
    </row>
    <row r="1037">
      <c r="E1037" s="62"/>
      <c r="F1037" s="7"/>
      <c r="G1037" s="7"/>
      <c r="I1037" s="7"/>
      <c r="K1037" s="62"/>
      <c r="L1037" s="7"/>
      <c r="M1037" s="7"/>
      <c r="O1037" s="7"/>
      <c r="Q1037" s="7"/>
      <c r="S1037" s="7"/>
      <c r="U1037" s="7"/>
      <c r="W1037" s="7"/>
    </row>
    <row r="1038">
      <c r="E1038" s="62"/>
      <c r="F1038" s="7"/>
      <c r="G1038" s="7"/>
      <c r="I1038" s="7"/>
      <c r="K1038" s="62"/>
      <c r="L1038" s="7"/>
      <c r="M1038" s="7"/>
      <c r="O1038" s="7"/>
      <c r="Q1038" s="7"/>
      <c r="S1038" s="7"/>
      <c r="U1038" s="7"/>
      <c r="W1038" s="7"/>
    </row>
    <row r="1039">
      <c r="E1039" s="62"/>
      <c r="F1039" s="7"/>
      <c r="G1039" s="7"/>
      <c r="I1039" s="7"/>
      <c r="K1039" s="62"/>
      <c r="L1039" s="7"/>
      <c r="M1039" s="7"/>
      <c r="O1039" s="7"/>
      <c r="Q1039" s="7"/>
      <c r="S1039" s="7"/>
      <c r="U1039" s="7"/>
      <c r="W1039" s="7"/>
    </row>
    <row r="1040">
      <c r="E1040" s="62"/>
      <c r="F1040" s="7"/>
      <c r="G1040" s="7"/>
      <c r="I1040" s="7"/>
      <c r="K1040" s="62"/>
      <c r="L1040" s="7"/>
      <c r="M1040" s="7"/>
      <c r="O1040" s="7"/>
      <c r="Q1040" s="7"/>
      <c r="S1040" s="7"/>
      <c r="U1040" s="7"/>
      <c r="W1040" s="7"/>
    </row>
    <row r="1041">
      <c r="E1041" s="62"/>
      <c r="F1041" s="7"/>
      <c r="G1041" s="7"/>
      <c r="I1041" s="7"/>
      <c r="K1041" s="62"/>
      <c r="L1041" s="7"/>
      <c r="M1041" s="7"/>
      <c r="O1041" s="7"/>
      <c r="Q1041" s="7"/>
      <c r="S1041" s="7"/>
      <c r="U1041" s="7"/>
      <c r="W1041" s="7"/>
    </row>
    <row r="1042">
      <c r="E1042" s="62"/>
      <c r="F1042" s="7"/>
      <c r="G1042" s="7"/>
      <c r="I1042" s="7"/>
      <c r="K1042" s="62"/>
      <c r="L1042" s="7"/>
      <c r="M1042" s="7"/>
      <c r="O1042" s="7"/>
      <c r="Q1042" s="7"/>
      <c r="S1042" s="7"/>
      <c r="U1042" s="7"/>
      <c r="W1042" s="7"/>
    </row>
    <row r="1043">
      <c r="E1043" s="62"/>
      <c r="F1043" s="7"/>
      <c r="G1043" s="7"/>
      <c r="I1043" s="7"/>
      <c r="K1043" s="62"/>
      <c r="L1043" s="7"/>
      <c r="M1043" s="7"/>
      <c r="O1043" s="7"/>
      <c r="Q1043" s="7"/>
      <c r="S1043" s="7"/>
      <c r="U1043" s="7"/>
      <c r="W1043" s="7"/>
    </row>
    <row r="1044">
      <c r="E1044" s="62"/>
      <c r="F1044" s="7"/>
      <c r="G1044" s="7"/>
      <c r="I1044" s="7"/>
      <c r="K1044" s="62"/>
      <c r="L1044" s="7"/>
      <c r="M1044" s="7"/>
      <c r="O1044" s="7"/>
      <c r="Q1044" s="7"/>
      <c r="S1044" s="7"/>
      <c r="U1044" s="7"/>
      <c r="W1044" s="7"/>
    </row>
    <row r="1045">
      <c r="E1045" s="62"/>
      <c r="F1045" s="7"/>
      <c r="G1045" s="7"/>
      <c r="I1045" s="7"/>
      <c r="K1045" s="62"/>
      <c r="L1045" s="7"/>
      <c r="M1045" s="7"/>
      <c r="O1045" s="7"/>
      <c r="Q1045" s="7"/>
      <c r="S1045" s="7"/>
      <c r="U1045" s="7"/>
      <c r="W1045" s="7"/>
    </row>
    <row r="1046">
      <c r="E1046" s="62"/>
      <c r="F1046" s="7"/>
      <c r="G1046" s="7"/>
      <c r="I1046" s="7"/>
      <c r="K1046" s="62"/>
      <c r="L1046" s="7"/>
      <c r="M1046" s="7"/>
      <c r="O1046" s="7"/>
      <c r="Q1046" s="7"/>
      <c r="S1046" s="7"/>
      <c r="U1046" s="7"/>
      <c r="W1046" s="7"/>
    </row>
    <row r="1047">
      <c r="E1047" s="62"/>
      <c r="F1047" s="7"/>
      <c r="G1047" s="7"/>
      <c r="I1047" s="7"/>
      <c r="K1047" s="62"/>
      <c r="L1047" s="7"/>
      <c r="M1047" s="7"/>
      <c r="O1047" s="7"/>
      <c r="Q1047" s="7"/>
      <c r="S1047" s="7"/>
      <c r="U1047" s="7"/>
      <c r="W1047" s="7"/>
    </row>
    <row r="1048">
      <c r="E1048" s="62"/>
      <c r="F1048" s="7"/>
      <c r="G1048" s="7"/>
      <c r="I1048" s="7"/>
      <c r="K1048" s="62"/>
      <c r="L1048" s="7"/>
      <c r="M1048" s="7"/>
      <c r="O1048" s="7"/>
      <c r="Q1048" s="7"/>
      <c r="S1048" s="7"/>
      <c r="U1048" s="7"/>
      <c r="W1048" s="7"/>
    </row>
    <row r="1049">
      <c r="E1049" s="62"/>
      <c r="F1049" s="7"/>
      <c r="G1049" s="7"/>
      <c r="I1049" s="7"/>
      <c r="K1049" s="62"/>
      <c r="L1049" s="7"/>
      <c r="M1049" s="7"/>
      <c r="O1049" s="7"/>
      <c r="Q1049" s="7"/>
      <c r="S1049" s="7"/>
      <c r="U1049" s="7"/>
      <c r="W1049" s="7"/>
    </row>
    <row r="1050">
      <c r="E1050" s="62"/>
      <c r="F1050" s="7"/>
      <c r="G1050" s="7"/>
      <c r="I1050" s="7"/>
      <c r="K1050" s="62"/>
      <c r="L1050" s="7"/>
      <c r="M1050" s="7"/>
      <c r="O1050" s="7"/>
      <c r="Q1050" s="7"/>
      <c r="S1050" s="7"/>
      <c r="U1050" s="7"/>
      <c r="W1050" s="7"/>
    </row>
    <row r="1051">
      <c r="E1051" s="62"/>
      <c r="F1051" s="7"/>
      <c r="G1051" s="7"/>
      <c r="I1051" s="7"/>
      <c r="K1051" s="62"/>
      <c r="L1051" s="7"/>
      <c r="M1051" s="7"/>
      <c r="O1051" s="7"/>
      <c r="Q1051" s="7"/>
      <c r="S1051" s="7"/>
      <c r="U1051" s="7"/>
      <c r="W1051" s="7"/>
    </row>
    <row r="1052">
      <c r="E1052" s="62"/>
      <c r="F1052" s="7"/>
      <c r="G1052" s="7"/>
      <c r="I1052" s="7"/>
      <c r="K1052" s="62"/>
      <c r="L1052" s="7"/>
      <c r="M1052" s="7"/>
      <c r="O1052" s="7"/>
      <c r="Q1052" s="7"/>
      <c r="S1052" s="7"/>
      <c r="U1052" s="7"/>
      <c r="W1052" s="7"/>
    </row>
    <row r="1053">
      <c r="E1053" s="62"/>
      <c r="F1053" s="7"/>
      <c r="G1053" s="7"/>
      <c r="I1053" s="7"/>
      <c r="K1053" s="62"/>
      <c r="L1053" s="7"/>
      <c r="M1053" s="7"/>
      <c r="O1053" s="7"/>
      <c r="Q1053" s="7"/>
      <c r="S1053" s="7"/>
      <c r="U1053" s="7"/>
      <c r="W1053" s="7"/>
    </row>
    <row r="1054">
      <c r="E1054" s="62"/>
      <c r="F1054" s="7"/>
      <c r="G1054" s="7"/>
      <c r="I1054" s="7"/>
      <c r="K1054" s="62"/>
      <c r="L1054" s="7"/>
      <c r="M1054" s="7"/>
      <c r="O1054" s="7"/>
      <c r="Q1054" s="7"/>
      <c r="S1054" s="7"/>
      <c r="U1054" s="7"/>
      <c r="W1054" s="7"/>
    </row>
    <row r="1055">
      <c r="E1055" s="62"/>
      <c r="F1055" s="7"/>
      <c r="G1055" s="7"/>
      <c r="I1055" s="7"/>
      <c r="K1055" s="62"/>
      <c r="L1055" s="7"/>
      <c r="M1055" s="7"/>
      <c r="O1055" s="7"/>
      <c r="Q1055" s="7"/>
      <c r="S1055" s="7"/>
      <c r="U1055" s="7"/>
      <c r="W1055" s="7"/>
    </row>
    <row r="1056">
      <c r="E1056" s="62"/>
      <c r="F1056" s="7"/>
      <c r="G1056" s="7"/>
      <c r="I1056" s="7"/>
      <c r="K1056" s="62"/>
      <c r="L1056" s="7"/>
      <c r="M1056" s="7"/>
      <c r="O1056" s="7"/>
      <c r="Q1056" s="7"/>
      <c r="S1056" s="7"/>
      <c r="U1056" s="7"/>
      <c r="W1056" s="7"/>
    </row>
    <row r="1057">
      <c r="E1057" s="62"/>
      <c r="F1057" s="7"/>
      <c r="G1057" s="7"/>
      <c r="I1057" s="7"/>
      <c r="K1057" s="62"/>
      <c r="L1057" s="7"/>
      <c r="M1057" s="7"/>
      <c r="O1057" s="7"/>
      <c r="Q1057" s="7"/>
      <c r="S1057" s="7"/>
      <c r="U1057" s="7"/>
      <c r="W1057" s="7"/>
    </row>
    <row r="1058">
      <c r="E1058" s="62"/>
      <c r="F1058" s="7"/>
      <c r="G1058" s="7"/>
      <c r="I1058" s="7"/>
      <c r="K1058" s="62"/>
      <c r="L1058" s="7"/>
      <c r="M1058" s="7"/>
      <c r="O1058" s="7"/>
      <c r="Q1058" s="7"/>
      <c r="S1058" s="7"/>
      <c r="U1058" s="7"/>
      <c r="W1058" s="7"/>
    </row>
    <row r="1059">
      <c r="E1059" s="62"/>
      <c r="F1059" s="7"/>
      <c r="G1059" s="7"/>
      <c r="I1059" s="7"/>
      <c r="K1059" s="62"/>
      <c r="L1059" s="7"/>
      <c r="M1059" s="7"/>
      <c r="O1059" s="7"/>
      <c r="Q1059" s="7"/>
      <c r="S1059" s="7"/>
      <c r="U1059" s="7"/>
      <c r="W1059" s="7"/>
    </row>
    <row r="1060">
      <c r="E1060" s="62"/>
      <c r="F1060" s="7"/>
      <c r="G1060" s="7"/>
      <c r="I1060" s="7"/>
      <c r="K1060" s="62"/>
      <c r="L1060" s="7"/>
      <c r="M1060" s="7"/>
      <c r="O1060" s="7"/>
      <c r="Q1060" s="7"/>
      <c r="S1060" s="7"/>
      <c r="U1060" s="7"/>
      <c r="W1060" s="7"/>
    </row>
    <row r="1061">
      <c r="E1061" s="62"/>
      <c r="F1061" s="7"/>
      <c r="G1061" s="7"/>
      <c r="I1061" s="7"/>
      <c r="K1061" s="62"/>
      <c r="L1061" s="7"/>
      <c r="M1061" s="7"/>
      <c r="O1061" s="7"/>
      <c r="Q1061" s="7"/>
      <c r="S1061" s="7"/>
      <c r="U1061" s="7"/>
      <c r="W1061" s="7"/>
    </row>
    <row r="1062">
      <c r="E1062" s="62"/>
      <c r="F1062" s="7"/>
      <c r="G1062" s="7"/>
      <c r="I1062" s="7"/>
      <c r="K1062" s="62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